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2026-数字建造组工作\15——招投标AI\"/>
    </mc:Choice>
  </mc:AlternateContent>
  <bookViews>
    <workbookView windowWidth="28800" windowHeight="11925" activeTab="5"/>
  </bookViews>
  <sheets>
    <sheet name="炼钢" sheetId="10" r:id="rId1"/>
    <sheet name="液压" sheetId="11" r:id="rId2"/>
    <sheet name="机修" sheetId="12" r:id="rId3"/>
    <sheet name="检化验" sheetId="13" r:id="rId4"/>
    <sheet name="给排水" sheetId="14" r:id="rId5"/>
    <sheet name="通风" sheetId="15" r:id="rId6"/>
    <sheet name="燃气" sheetId="16" r:id="rId7"/>
    <sheet name="热力" sheetId="17" r:id="rId8"/>
    <sheet name="供电" sheetId="18" r:id="rId9"/>
    <sheet name="传动" sheetId="19" r:id="rId10"/>
    <sheet name="仪表" sheetId="20" r:id="rId11"/>
    <sheet name="自动化" sheetId="21" r:id="rId12"/>
    <sheet name="计算机" sheetId="22" r:id="rId13"/>
    <sheet name="电讯" sheetId="23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炼钢!$A$3:$J$398</definedName>
    <definedName name="_xlnm._FilterDatabase" localSheetId="4" hidden="1">给排水!$A$1:$G$332</definedName>
    <definedName name="_xlnm._FilterDatabase" localSheetId="5" hidden="1">通风!$A$3:$G$207</definedName>
    <definedName name="_xlnm._FilterDatabase" localSheetId="6" hidden="1">燃气!$A$3:$G$215</definedName>
    <definedName name="_xlnm._FilterDatabase" localSheetId="7" hidden="1">热力!$A$3:$L$235</definedName>
    <definedName name="_xlnm._FilterDatabase" localSheetId="8" hidden="1">供电!$A$3:$G$136</definedName>
    <definedName name="_xlnm._FilterDatabase" localSheetId="9" hidden="1">传动!$A$2:$G$586</definedName>
    <definedName name="_xlnm._FilterDatabase" localSheetId="10" hidden="1">仪表!$A$2:$G$571</definedName>
    <definedName name="_xlnm._FilterDatabase" localSheetId="11" hidden="1">自动化!$A$1:$G$133</definedName>
    <definedName name="_xlnm._FilterDatabase" localSheetId="12" hidden="1">计算机!$A$3:$F$112</definedName>
    <definedName name="_xlnm._FilterDatabase" localSheetId="13" hidden="1">电讯!$A$3:$G$91</definedName>
    <definedName name="______xlfn.SUMIFS" hidden="1">#NAME?</definedName>
    <definedName name="_____xlfn.SUMIFS" hidden="1">#NAME?</definedName>
    <definedName name="____arr3">{"Book1","4.09 FLORA DAN FAUNA.xls","4.22 PERLENGKAPAN SEKOLAH.xls"}</definedName>
    <definedName name="____arr3_1">{"Book1","4.09 FLORA DAN FAUNA.xls","4.22 PERLENGKAPAN SEKOLAH.xls"}</definedName>
    <definedName name="____arr3_2">{"Book1","4.09 FLORA DAN FAUNA.xls","4.22 PERLENGKAPAN SEKOLAH.xls"}</definedName>
    <definedName name="____der4">{"Book1","4.09 FLORA DAN FAUNA.xls","4.22 PERLENGKAPAN SEKOLAH.xls"}</definedName>
    <definedName name="____der4_1">{"Book1","4.09 FLORA DAN FAUNA.xls","4.22 PERLENGKAPAN SEKOLAH.xls"}</definedName>
    <definedName name="____der4_2">{"Book1","4.09 FLORA DAN FAUNA.xls","4.22 PERLENGKAPAN SEKOLAH.xls"}</definedName>
    <definedName name="____doc5">{"Book1","4.09 FLORA DAN FAUNA.xls","4.22 PERLENGKAPAN SEKOLAH.xls"}</definedName>
    <definedName name="____doc5_1">{"Book1","4.09 FLORA DAN FAUNA.xls","4.22 PERLENGKAPAN SEKOLAH.xls"}</definedName>
    <definedName name="____doc5_2">{"Book1","4.09 FLORA DAN FAUNA.xls","4.22 PERLENGKAPAN SEKOLAH.xls"}</definedName>
    <definedName name="____mas1">{"Book1","4.09 FLORA DAN FAUNA.xls","4.22 PERLENGKAPAN SEKOLAH.xls"}</definedName>
    <definedName name="____mas1_1">{"Book1","4.09 FLORA DAN FAUNA.xls","4.22 PERLENGKAPAN SEKOLAH.xls"}</definedName>
    <definedName name="____mas1_2">{"Book1","4.09 FLORA DAN FAUNA.xls","4.22 PERLENGKAPAN SEKOLAH.xls"}</definedName>
    <definedName name="____mas12">{"Book1","4.09 FLORA DAN FAUNA.xls","4.22 PERLENGKAPAN SEKOLAH.xls"}</definedName>
    <definedName name="____mas12_1">{"Book1","4.09 FLORA DAN FAUNA.xls","4.22 PERLENGKAPAN SEKOLAH.xls"}</definedName>
    <definedName name="____mas12_2">{"Book1","4.09 FLORA DAN FAUNA.xls","4.22 PERLENGKAPAN SEKOLAH.xls"}</definedName>
    <definedName name="____mas2">{"Book1","4.09 FLORA DAN FAUNA.xls","4.22 PERLENGKAPAN SEKOLAH.xls"}</definedName>
    <definedName name="____mas2_1">{"Book1","4.09 FLORA DAN FAUNA.xls","4.22 PERLENGKAPAN SEKOLAH.xls"}</definedName>
    <definedName name="____mas2_2">{"Book1","4.09 FLORA DAN FAUNA.xls","4.22 PERLENGKAPAN SEKOLAH.xls"}</definedName>
    <definedName name="____mas4">{"Book1","4.09 FLORA DAN FAUNA.xls","4.22 PERLENGKAPAN SEKOLAH.xls"}</definedName>
    <definedName name="____mas4_1">{"Book1","4.09 FLORA DAN FAUNA.xls","4.22 PERLENGKAPAN SEKOLAH.xls"}</definedName>
    <definedName name="____mas4_2">{"Book1","4.09 FLORA DAN FAUNA.xls","4.22 PERLENGKAPAN SEKOLAH.xls"}</definedName>
    <definedName name="____mas5">{"Book1","4.09 FLORA DAN FAUNA.xls","4.22 PERLENGKAPAN SEKOLAH.xls"}</definedName>
    <definedName name="____mas5_1">{"Book1","4.09 FLORA DAN FAUNA.xls","4.22 PERLENGKAPAN SEKOLAH.xls"}</definedName>
    <definedName name="____mas5_2">{"Book1","4.09 FLORA DAN FAUNA.xls","4.22 PERLENGKAPAN SEKOLAH.xls"}</definedName>
    <definedName name="____mas6">{"Book1","4.09 FLORA DAN FAUNA.xls","4.22 PERLENGKAPAN SEKOLAH.xls"}</definedName>
    <definedName name="____mas6_1">{"Book1","4.09 FLORA DAN FAUNA.xls","4.22 PERLENGKAPAN SEKOLAH.xls"}</definedName>
    <definedName name="____mas6_2">{"Book1","4.09 FLORA DAN FAUNA.xls","4.22 PERLENGKAPAN SEKOLAH.xls"}</definedName>
    <definedName name="____mas7">{"Book1","4.09 FLORA DAN FAUNA.xls","4.22 PERLENGKAPAN SEKOLAH.xls"}</definedName>
    <definedName name="____mas7_1">{"Book1","4.09 FLORA DAN FAUNA.xls","4.22 PERLENGKAPAN SEKOLAH.xls"}</definedName>
    <definedName name="____mas7_2">{"Book1","4.09 FLORA DAN FAUNA.xls","4.22 PERLENGKAPAN SEKOLAH.xls"}</definedName>
    <definedName name="____mas8">{"Book1","4.09 FLORA DAN FAUNA.xls","4.22 PERLENGKAPAN SEKOLAH.xls"}</definedName>
    <definedName name="____mas8_1">{"Book1","4.09 FLORA DAN FAUNA.xls","4.22 PERLENGKAPAN SEKOLAH.xls"}</definedName>
    <definedName name="____mas8_2">{"Book1","4.09 FLORA DAN FAUNA.xls","4.22 PERLENGKAPAN SEKOLAH.xls"}</definedName>
    <definedName name="____mas9">{"Book1","4.09 FLORA DAN FAUNA.xls","4.22 PERLENGKAPAN SEKOLAH.xls"}</definedName>
    <definedName name="____mas9_1">{"Book1","4.09 FLORA DAN FAUNA.xls","4.22 PERLENGKAPAN SEKOLAH.xls"}</definedName>
    <definedName name="____mas9_2">{"Book1","4.09 FLORA DAN FAUNA.xls","4.22 PERLENGKAPAN SEKOLAH.xls"}</definedName>
    <definedName name="____me1">{"Book1","4.09 FLORA DAN FAUNA.xls","4.22 PERLENGKAPAN SEKOLAH.xls"}</definedName>
    <definedName name="____me1_1">{"Book1","4.09 FLORA DAN FAUNA.xls","4.22 PERLENGKAPAN SEKOLAH.xls"}</definedName>
    <definedName name="____me1_2">{"Book1","4.09 FLORA DAN FAUNA.xls","4.22 PERLENGKAPAN SEKOLAH.xls"}</definedName>
    <definedName name="____me2">{"Book1","4.09 FLORA DAN FAUNA.xls","4.22 PERLENGKAPAN SEKOLAH.xls"}</definedName>
    <definedName name="____me2_1">{"Book1","4.09 FLORA DAN FAUNA.xls","4.22 PERLENGKAPAN SEKOLAH.xls"}</definedName>
    <definedName name="____me2_2">{"Book1","4.09 FLORA DAN FAUNA.xls","4.22 PERLENGKAPAN SEKOLAH.xls"}</definedName>
    <definedName name="____me3">{"Book1","4.09 FLORA DAN FAUNA.xls","4.22 PERLENGKAPAN SEKOLAH.xls"}</definedName>
    <definedName name="____me3_1">{"Book1","4.09 FLORA DAN FAUNA.xls","4.22 PERLENGKAPAN SEKOLAH.xls"}</definedName>
    <definedName name="____me3_2">{"Book1","4.09 FLORA DAN FAUNA.xls","4.22 PERLENGKAPAN SEKOLAH.xls"}</definedName>
    <definedName name="____me4">{"Book1","4.09 FLORA DAN FAUNA.xls","4.22 PERLENGKAPAN SEKOLAH.xls"}</definedName>
    <definedName name="____me4_1">{"Book1","4.09 FLORA DAN FAUNA.xls","4.22 PERLENGKAPAN SEKOLAH.xls"}</definedName>
    <definedName name="____me4_2">{"Book1","4.09 FLORA DAN FAUNA.xls","4.22 PERLENGKAPAN SEKOLAH.xls"}</definedName>
    <definedName name="____me5">{"Book1","4.09 FLORA DAN FAUNA.xls","4.22 PERLENGKAPAN SEKOLAH.xls"}</definedName>
    <definedName name="____me5_1">{"Book1","4.09 FLORA DAN FAUNA.xls","4.22 PERLENGKAPAN SEKOLAH.xls"}</definedName>
    <definedName name="____me5_2">{"Book1","4.09 FLORA DAN FAUNA.xls","4.22 PERLENGKAPAN SEKOLAH.xls"}</definedName>
    <definedName name="____me9">{"Book1","4.09 FLORA DAN FAUNA.xls","4.22 PERLENGKAPAN SEKOLAH.xls"}</definedName>
    <definedName name="____me9_1">{"Book1","4.09 FLORA DAN FAUNA.xls","4.22 PERLENGKAPAN SEKOLAH.xls"}</definedName>
    <definedName name="____me9_2">{"Book1","4.09 FLORA DAN FAUNA.xls","4.22 PERLENGKAPAN SEKOLAH.xls"}</definedName>
    <definedName name="____mek1">{"Book1","4.09 FLORA DAN FAUNA.xls","4.22 PERLENGKAPAN SEKOLAH.xls"}</definedName>
    <definedName name="____mek1_1">{"Book1","4.09 FLORA DAN FAUNA.xls","4.22 PERLENGKAPAN SEKOLAH.xls"}</definedName>
    <definedName name="____mek1_2">{"Book1","4.09 FLORA DAN FAUNA.xls","4.22 PERLENGKAPAN SEKOLAH.xls"}</definedName>
    <definedName name="____mek2">{"Book1","4.09 FLORA DAN FAUNA.xls","4.22 PERLENGKAPAN SEKOLAH.xls"}</definedName>
    <definedName name="____mek2_1">{"Book1","4.09 FLORA DAN FAUNA.xls","4.22 PERLENGKAPAN SEKOLAH.xls"}</definedName>
    <definedName name="____mek2_2">{"Book1","4.09 FLORA DAN FAUNA.xls","4.22 PERLENGKAPAN SEKOLAH.xls"}</definedName>
    <definedName name="____mek3">{"Book1","4.09 FLORA DAN FAUNA.xls","4.22 PERLENGKAPAN SEKOLAH.xls"}</definedName>
    <definedName name="____mek3_1">{"Book1","4.09 FLORA DAN FAUNA.xls","4.22 PERLENGKAPAN SEKOLAH.xls"}</definedName>
    <definedName name="____mek3_2">{"Book1","4.09 FLORA DAN FAUNA.xls","4.22 PERLENGKAPAN SEKOLAH.xls"}</definedName>
    <definedName name="____mek5">{"Book1","4.09 FLORA DAN FAUNA.xls","4.22 PERLENGKAPAN SEKOLAH.xls"}</definedName>
    <definedName name="____mek5_1">{"Book1","4.09 FLORA DAN FAUNA.xls","4.22 PERLENGKAPAN SEKOLAH.xls"}</definedName>
    <definedName name="____mek5_2">{"Book1","4.09 FLORA DAN FAUNA.xls","4.22 PERLENGKAPAN SEKOLAH.xls"}</definedName>
    <definedName name="____mek87">{"Book1","4.09 FLORA DAN FAUNA.xls","4.22 PERLENGKAPAN SEKOLAH.xls"}</definedName>
    <definedName name="____mek87_1">{"Book1","4.09 FLORA DAN FAUNA.xls","4.22 PERLENGKAPAN SEKOLAH.xls"}</definedName>
    <definedName name="____mek87_2">{"Book1","4.09 FLORA DAN FAUNA.xls","4.22 PERLENGKAPAN SEKOLAH.xls"}</definedName>
    <definedName name="____mek9">{"Book1","4.09 FLORA DAN FAUNA.xls","4.22 PERLENGKAPAN SEKOLAH.xls"}</definedName>
    <definedName name="____mek9_1">{"Book1","4.09 FLORA DAN FAUNA.xls","4.22 PERLENGKAPAN SEKOLAH.xls"}</definedName>
    <definedName name="____mek9_2">{"Book1","4.09 FLORA DAN FAUNA.xls","4.22 PERLENGKAPAN SEKOLAH.xls"}</definedName>
    <definedName name="____meq12">{"Book1","4.09 FLORA DAN FAUNA.xls","4.22 PERLENGKAPAN SEKOLAH.xls"}</definedName>
    <definedName name="____meq12_1">{"Book1","4.09 FLORA DAN FAUNA.xls","4.22 PERLENGKAPAN SEKOLAH.xls"}</definedName>
    <definedName name="____meq12_2">{"Book1","4.09 FLORA DAN FAUNA.xls","4.22 PERLENGKAPAN SEKOLAH.xls"}</definedName>
    <definedName name="____xlfn.SUMIFS" hidden="1">#NAME?</definedName>
    <definedName name="___arr3">{"Book1","4.09 FLORA DAN FAUNA.xls","4.22 PERLENGKAPAN SEKOLAH.xls"}</definedName>
    <definedName name="___arr3_1">{"Book1","4.09 FLORA DAN FAUNA.xls","4.22 PERLENGKAPAN SEKOLAH.xls"}</definedName>
    <definedName name="___arr3_2">{"Book1","4.09 FLORA DAN FAUNA.xls","4.22 PERLENGKAPAN SEKOLAH.xls"}</definedName>
    <definedName name="___der4">{"Book1","4.09 FLORA DAN FAUNA.xls","4.22 PERLENGKAPAN SEKOLAH.xls"}</definedName>
    <definedName name="___der4_1">{"Book1","4.09 FLORA DAN FAUNA.xls","4.22 PERLENGKAPAN SEKOLAH.xls"}</definedName>
    <definedName name="___der4_2">{"Book1","4.09 FLORA DAN FAUNA.xls","4.22 PERLENGKAPAN SEKOLAH.xls"}</definedName>
    <definedName name="___doc5">{"Book1","4.09 FLORA DAN FAUNA.xls","4.22 PERLENGKAPAN SEKOLAH.xls"}</definedName>
    <definedName name="___doc5_1">{"Book1","4.09 FLORA DAN FAUNA.xls","4.22 PERLENGKAPAN SEKOLAH.xls"}</definedName>
    <definedName name="___doc5_2">{"Book1","4.09 FLORA DAN FAUNA.xls","4.22 PERLENGKAPAN SEKOLAH.xls"}</definedName>
    <definedName name="___mas1">{"Book1","4.09 FLORA DAN FAUNA.xls","4.22 PERLENGKAPAN SEKOLAH.xls"}</definedName>
    <definedName name="___mas1_1">{"Book1","4.09 FLORA DAN FAUNA.xls","4.22 PERLENGKAPAN SEKOLAH.xls"}</definedName>
    <definedName name="___mas1_2">{"Book1","4.09 FLORA DAN FAUNA.xls","4.22 PERLENGKAPAN SEKOLAH.xls"}</definedName>
    <definedName name="___mas12">{"Book1","4.09 FLORA DAN FAUNA.xls","4.22 PERLENGKAPAN SEKOLAH.xls"}</definedName>
    <definedName name="___mas12_1">{"Book1","4.09 FLORA DAN FAUNA.xls","4.22 PERLENGKAPAN SEKOLAH.xls"}</definedName>
    <definedName name="___mas12_2">{"Book1","4.09 FLORA DAN FAUNA.xls","4.22 PERLENGKAPAN SEKOLAH.xls"}</definedName>
    <definedName name="___mas2">{"Book1","4.09 FLORA DAN FAUNA.xls","4.22 PERLENGKAPAN SEKOLAH.xls"}</definedName>
    <definedName name="___mas2_1">{"Book1","4.09 FLORA DAN FAUNA.xls","4.22 PERLENGKAPAN SEKOLAH.xls"}</definedName>
    <definedName name="___mas2_2">{"Book1","4.09 FLORA DAN FAUNA.xls","4.22 PERLENGKAPAN SEKOLAH.xls"}</definedName>
    <definedName name="___mas4">{"Book1","4.09 FLORA DAN FAUNA.xls","4.22 PERLENGKAPAN SEKOLAH.xls"}</definedName>
    <definedName name="___mas4_1">{"Book1","4.09 FLORA DAN FAUNA.xls","4.22 PERLENGKAPAN SEKOLAH.xls"}</definedName>
    <definedName name="___mas4_2">{"Book1","4.09 FLORA DAN FAUNA.xls","4.22 PERLENGKAPAN SEKOLAH.xls"}</definedName>
    <definedName name="___mas5">{"Book1","4.09 FLORA DAN FAUNA.xls","4.22 PERLENGKAPAN SEKOLAH.xls"}</definedName>
    <definedName name="___mas5_1">{"Book1","4.09 FLORA DAN FAUNA.xls","4.22 PERLENGKAPAN SEKOLAH.xls"}</definedName>
    <definedName name="___mas5_2">{"Book1","4.09 FLORA DAN FAUNA.xls","4.22 PERLENGKAPAN SEKOLAH.xls"}</definedName>
    <definedName name="___mas6">{"Book1","4.09 FLORA DAN FAUNA.xls","4.22 PERLENGKAPAN SEKOLAH.xls"}</definedName>
    <definedName name="___mas6_1">{"Book1","4.09 FLORA DAN FAUNA.xls","4.22 PERLENGKAPAN SEKOLAH.xls"}</definedName>
    <definedName name="___mas6_2">{"Book1","4.09 FLORA DAN FAUNA.xls","4.22 PERLENGKAPAN SEKOLAH.xls"}</definedName>
    <definedName name="___mas7">{"Book1","4.09 FLORA DAN FAUNA.xls","4.22 PERLENGKAPAN SEKOLAH.xls"}</definedName>
    <definedName name="___mas7_1">{"Book1","4.09 FLORA DAN FAUNA.xls","4.22 PERLENGKAPAN SEKOLAH.xls"}</definedName>
    <definedName name="___mas7_2">{"Book1","4.09 FLORA DAN FAUNA.xls","4.22 PERLENGKAPAN SEKOLAH.xls"}</definedName>
    <definedName name="___mas8">{"Book1","4.09 FLORA DAN FAUNA.xls","4.22 PERLENGKAPAN SEKOLAH.xls"}</definedName>
    <definedName name="___mas8_1">{"Book1","4.09 FLORA DAN FAUNA.xls","4.22 PERLENGKAPAN SEKOLAH.xls"}</definedName>
    <definedName name="___mas8_2">{"Book1","4.09 FLORA DAN FAUNA.xls","4.22 PERLENGKAPAN SEKOLAH.xls"}</definedName>
    <definedName name="___mas9">{"Book1","4.09 FLORA DAN FAUNA.xls","4.22 PERLENGKAPAN SEKOLAH.xls"}</definedName>
    <definedName name="___mas9_1">{"Book1","4.09 FLORA DAN FAUNA.xls","4.22 PERLENGKAPAN SEKOLAH.xls"}</definedName>
    <definedName name="___mas9_2">{"Book1","4.09 FLORA DAN FAUNA.xls","4.22 PERLENGKAPAN SEKOLAH.xls"}</definedName>
    <definedName name="___me1">{"Book1","4.09 FLORA DAN FAUNA.xls","4.22 PERLENGKAPAN SEKOLAH.xls"}</definedName>
    <definedName name="___me1_1">{"Book1","4.09 FLORA DAN FAUNA.xls","4.22 PERLENGKAPAN SEKOLAH.xls"}</definedName>
    <definedName name="___me1_2">{"Book1","4.09 FLORA DAN FAUNA.xls","4.22 PERLENGKAPAN SEKOLAH.xls"}</definedName>
    <definedName name="___me2">{"Book1","4.09 FLORA DAN FAUNA.xls","4.22 PERLENGKAPAN SEKOLAH.xls"}</definedName>
    <definedName name="___me2_1">{"Book1","4.09 FLORA DAN FAUNA.xls","4.22 PERLENGKAPAN SEKOLAH.xls"}</definedName>
    <definedName name="___me2_2">{"Book1","4.09 FLORA DAN FAUNA.xls","4.22 PERLENGKAPAN SEKOLAH.xls"}</definedName>
    <definedName name="___me3">{"Book1","4.09 FLORA DAN FAUNA.xls","4.22 PERLENGKAPAN SEKOLAH.xls"}</definedName>
    <definedName name="___me3_1">{"Book1","4.09 FLORA DAN FAUNA.xls","4.22 PERLENGKAPAN SEKOLAH.xls"}</definedName>
    <definedName name="___me3_2">{"Book1","4.09 FLORA DAN FAUNA.xls","4.22 PERLENGKAPAN SEKOLAH.xls"}</definedName>
    <definedName name="___me4">{"Book1","4.09 FLORA DAN FAUNA.xls","4.22 PERLENGKAPAN SEKOLAH.xls"}</definedName>
    <definedName name="___me4_1">{"Book1","4.09 FLORA DAN FAUNA.xls","4.22 PERLENGKAPAN SEKOLAH.xls"}</definedName>
    <definedName name="___me4_2">{"Book1","4.09 FLORA DAN FAUNA.xls","4.22 PERLENGKAPAN SEKOLAH.xls"}</definedName>
    <definedName name="___me5">{"Book1","4.09 FLORA DAN FAUNA.xls","4.22 PERLENGKAPAN SEKOLAH.xls"}</definedName>
    <definedName name="___me5_1">{"Book1","4.09 FLORA DAN FAUNA.xls","4.22 PERLENGKAPAN SEKOLAH.xls"}</definedName>
    <definedName name="___me5_2">{"Book1","4.09 FLORA DAN FAUNA.xls","4.22 PERLENGKAPAN SEKOLAH.xls"}</definedName>
    <definedName name="___me9">{"Book1","4.09 FLORA DAN FAUNA.xls","4.22 PERLENGKAPAN SEKOLAH.xls"}</definedName>
    <definedName name="___me9_1">{"Book1","4.09 FLORA DAN FAUNA.xls","4.22 PERLENGKAPAN SEKOLAH.xls"}</definedName>
    <definedName name="___me9_2">{"Book1","4.09 FLORA DAN FAUNA.xls","4.22 PERLENGKAPAN SEKOLAH.xls"}</definedName>
    <definedName name="___mek1">{"Book1","4.09 FLORA DAN FAUNA.xls","4.22 PERLENGKAPAN SEKOLAH.xls"}</definedName>
    <definedName name="___mek1_1">{"Book1","4.09 FLORA DAN FAUNA.xls","4.22 PERLENGKAPAN SEKOLAH.xls"}</definedName>
    <definedName name="___mek1_2">{"Book1","4.09 FLORA DAN FAUNA.xls","4.22 PERLENGKAPAN SEKOLAH.xls"}</definedName>
    <definedName name="___mek2">{"Book1","4.09 FLORA DAN FAUNA.xls","4.22 PERLENGKAPAN SEKOLAH.xls"}</definedName>
    <definedName name="___mek2_1">{"Book1","4.09 FLORA DAN FAUNA.xls","4.22 PERLENGKAPAN SEKOLAH.xls"}</definedName>
    <definedName name="___mek2_2">{"Book1","4.09 FLORA DAN FAUNA.xls","4.22 PERLENGKAPAN SEKOLAH.xls"}</definedName>
    <definedName name="___mek3">{"Book1","4.09 FLORA DAN FAUNA.xls","4.22 PERLENGKAPAN SEKOLAH.xls"}</definedName>
    <definedName name="___mek3_1">{"Book1","4.09 FLORA DAN FAUNA.xls","4.22 PERLENGKAPAN SEKOLAH.xls"}</definedName>
    <definedName name="___mek3_2">{"Book1","4.09 FLORA DAN FAUNA.xls","4.22 PERLENGKAPAN SEKOLAH.xls"}</definedName>
    <definedName name="___mek5">{"Book1","4.09 FLORA DAN FAUNA.xls","4.22 PERLENGKAPAN SEKOLAH.xls"}</definedName>
    <definedName name="___mek5_1">{"Book1","4.09 FLORA DAN FAUNA.xls","4.22 PERLENGKAPAN SEKOLAH.xls"}</definedName>
    <definedName name="___mek5_2">{"Book1","4.09 FLORA DAN FAUNA.xls","4.22 PERLENGKAPAN SEKOLAH.xls"}</definedName>
    <definedName name="___mek87">{"Book1","4.09 FLORA DAN FAUNA.xls","4.22 PERLENGKAPAN SEKOLAH.xls"}</definedName>
    <definedName name="___mek87_1">{"Book1","4.09 FLORA DAN FAUNA.xls","4.22 PERLENGKAPAN SEKOLAH.xls"}</definedName>
    <definedName name="___mek87_2">{"Book1","4.09 FLORA DAN FAUNA.xls","4.22 PERLENGKAPAN SEKOLAH.xls"}</definedName>
    <definedName name="___mek9">{"Book1","4.09 FLORA DAN FAUNA.xls","4.22 PERLENGKAPAN SEKOLAH.xls"}</definedName>
    <definedName name="___mek9_1">{"Book1","4.09 FLORA DAN FAUNA.xls","4.22 PERLENGKAPAN SEKOLAH.xls"}</definedName>
    <definedName name="___mek9_2">{"Book1","4.09 FLORA DAN FAUNA.xls","4.22 PERLENGKAPAN SEKOLAH.xls"}</definedName>
    <definedName name="___meq12">{"Book1","4.09 FLORA DAN FAUNA.xls","4.22 PERLENGKAPAN SEKOLAH.xls"}</definedName>
    <definedName name="___meq12_1">{"Book1","4.09 FLORA DAN FAUNA.xls","4.22 PERLENGKAPAN SEKOLAH.xls"}</definedName>
    <definedName name="___meq12_2">{"Book1","4.09 FLORA DAN FAUNA.xls","4.22 PERLENGKAPAN SEKOLAH.xls"}</definedName>
    <definedName name="___xlfn.SUMIFS" hidden="1">#NAME?</definedName>
    <definedName name="__123Graph_A" hidden="1">'[1]EE-PROP'!#REF!</definedName>
    <definedName name="__123Graph_AChart1" hidden="1">'[1]EE-PROP'!#REF!</definedName>
    <definedName name="__123Graph_ACurrent" hidden="1">'[1]EE-PROP'!#REF!</definedName>
    <definedName name="__123Graph_B" hidden="1">'[1]EE-PROP'!#REF!</definedName>
    <definedName name="__123Graph_BChart1" hidden="1">'[1]EE-PROP'!#REF!</definedName>
    <definedName name="__123Graph_BCurrent" hidden="1">'[1]EE-PROP'!#REF!</definedName>
    <definedName name="__123Graph_X" hidden="1">'[1]EE-PROP'!#REF!</definedName>
    <definedName name="__123Graph_XChart1" hidden="1">'[1]EE-PROP'!#REF!</definedName>
    <definedName name="__123Graph_XCurrent" hidden="1">'[1]EE-PROP'!#REF!</definedName>
    <definedName name="__arr3">{"Book1","4.09 FLORA DAN FAUNA.xls","4.22 PERLENGKAPAN SEKOLAH.xls"}</definedName>
    <definedName name="__arr3_1">{"Book1","4.09 FLORA DAN FAUNA.xls","4.22 PERLENGKAPAN SEKOLAH.xls"}</definedName>
    <definedName name="__arr3_2">{"Book1","4.09 FLORA DAN FAUNA.xls","4.22 PERLENGKAPAN SEKOLAH.xls"}</definedName>
    <definedName name="__der4">{"Book1","4.09 FLORA DAN FAUNA.xls","4.22 PERLENGKAPAN SEKOLAH.xls"}</definedName>
    <definedName name="__der4_1">{"Book1","4.09 FLORA DAN FAUNA.xls","4.22 PERLENGKAPAN SEKOLAH.xls"}</definedName>
    <definedName name="__der4_2">{"Book1","4.09 FLORA DAN FAUNA.xls","4.22 PERLENGKAPAN SEKOLAH.xls"}</definedName>
    <definedName name="__doc5">{"Book1","4.09 FLORA DAN FAUNA.xls","4.22 PERLENGKAPAN SEKOLAH.xls"}</definedName>
    <definedName name="__doc5_1">{"Book1","4.09 FLORA DAN FAUNA.xls","4.22 PERLENGKAPAN SEKOLAH.xls"}</definedName>
    <definedName name="__doc5_2">{"Book1","4.09 FLORA DAN FAUNA.xls","4.22 PERLENGKAPAN SEKOLAH.xls"}</definedName>
    <definedName name="__key2" hidden="1">#REF!</definedName>
    <definedName name="__mas1">{"Book1","4.09 FLORA DAN FAUNA.xls","4.22 PERLENGKAPAN SEKOLAH.xls"}</definedName>
    <definedName name="__mas1_1">{"Book1","4.09 FLORA DAN FAUNA.xls","4.22 PERLENGKAPAN SEKOLAH.xls"}</definedName>
    <definedName name="__mas1_2">{"Book1","4.09 FLORA DAN FAUNA.xls","4.22 PERLENGKAPAN SEKOLAH.xls"}</definedName>
    <definedName name="__mas12">{"Book1","4.09 FLORA DAN FAUNA.xls","4.22 PERLENGKAPAN SEKOLAH.xls"}</definedName>
    <definedName name="__mas12_1">{"Book1","4.09 FLORA DAN FAUNA.xls","4.22 PERLENGKAPAN SEKOLAH.xls"}</definedName>
    <definedName name="__mas12_2">{"Book1","4.09 FLORA DAN FAUNA.xls","4.22 PERLENGKAPAN SEKOLAH.xls"}</definedName>
    <definedName name="__mas2">{"Book1","4.09 FLORA DAN FAUNA.xls","4.22 PERLENGKAPAN SEKOLAH.xls"}</definedName>
    <definedName name="__mas2_1">{"Book1","4.09 FLORA DAN FAUNA.xls","4.22 PERLENGKAPAN SEKOLAH.xls"}</definedName>
    <definedName name="__mas2_2">{"Book1","4.09 FLORA DAN FAUNA.xls","4.22 PERLENGKAPAN SEKOLAH.xls"}</definedName>
    <definedName name="__mas4">{"Book1","4.09 FLORA DAN FAUNA.xls","4.22 PERLENGKAPAN SEKOLAH.xls"}</definedName>
    <definedName name="__mas4_1">{"Book1","4.09 FLORA DAN FAUNA.xls","4.22 PERLENGKAPAN SEKOLAH.xls"}</definedName>
    <definedName name="__mas4_2">{"Book1","4.09 FLORA DAN FAUNA.xls","4.22 PERLENGKAPAN SEKOLAH.xls"}</definedName>
    <definedName name="__mas5">{"Book1","4.09 FLORA DAN FAUNA.xls","4.22 PERLENGKAPAN SEKOLAH.xls"}</definedName>
    <definedName name="__mas5_1">{"Book1","4.09 FLORA DAN FAUNA.xls","4.22 PERLENGKAPAN SEKOLAH.xls"}</definedName>
    <definedName name="__mas5_2">{"Book1","4.09 FLORA DAN FAUNA.xls","4.22 PERLENGKAPAN SEKOLAH.xls"}</definedName>
    <definedName name="__mas6">{"Book1","4.09 FLORA DAN FAUNA.xls","4.22 PERLENGKAPAN SEKOLAH.xls"}</definedName>
    <definedName name="__mas6_1">{"Book1","4.09 FLORA DAN FAUNA.xls","4.22 PERLENGKAPAN SEKOLAH.xls"}</definedName>
    <definedName name="__mas6_2">{"Book1","4.09 FLORA DAN FAUNA.xls","4.22 PERLENGKAPAN SEKOLAH.xls"}</definedName>
    <definedName name="__mas7">{"Book1","4.09 FLORA DAN FAUNA.xls","4.22 PERLENGKAPAN SEKOLAH.xls"}</definedName>
    <definedName name="__mas7_1">{"Book1","4.09 FLORA DAN FAUNA.xls","4.22 PERLENGKAPAN SEKOLAH.xls"}</definedName>
    <definedName name="__mas7_2">{"Book1","4.09 FLORA DAN FAUNA.xls","4.22 PERLENGKAPAN SEKOLAH.xls"}</definedName>
    <definedName name="__mas8">{"Book1","4.09 FLORA DAN FAUNA.xls","4.22 PERLENGKAPAN SEKOLAH.xls"}</definedName>
    <definedName name="__mas8_1">{"Book1","4.09 FLORA DAN FAUNA.xls","4.22 PERLENGKAPAN SEKOLAH.xls"}</definedName>
    <definedName name="__mas8_2">{"Book1","4.09 FLORA DAN FAUNA.xls","4.22 PERLENGKAPAN SEKOLAH.xls"}</definedName>
    <definedName name="__mas9">{"Book1","4.09 FLORA DAN FAUNA.xls","4.22 PERLENGKAPAN SEKOLAH.xls"}</definedName>
    <definedName name="__mas9_1">{"Book1","4.09 FLORA DAN FAUNA.xls","4.22 PERLENGKAPAN SEKOLAH.xls"}</definedName>
    <definedName name="__mas9_2">{"Book1","4.09 FLORA DAN FAUNA.xls","4.22 PERLENGKAPAN SEKOLAH.xls"}</definedName>
    <definedName name="__me1">{"Book1","4.09 FLORA DAN FAUNA.xls","4.22 PERLENGKAPAN SEKOLAH.xls"}</definedName>
    <definedName name="__me1_1">{"Book1","4.09 FLORA DAN FAUNA.xls","4.22 PERLENGKAPAN SEKOLAH.xls"}</definedName>
    <definedName name="__me1_2">{"Book1","4.09 FLORA DAN FAUNA.xls","4.22 PERLENGKAPAN SEKOLAH.xls"}</definedName>
    <definedName name="__me2">{"Book1","4.09 FLORA DAN FAUNA.xls","4.22 PERLENGKAPAN SEKOLAH.xls"}</definedName>
    <definedName name="__me2_1">{"Book1","4.09 FLORA DAN FAUNA.xls","4.22 PERLENGKAPAN SEKOLAH.xls"}</definedName>
    <definedName name="__me2_2">{"Book1","4.09 FLORA DAN FAUNA.xls","4.22 PERLENGKAPAN SEKOLAH.xls"}</definedName>
    <definedName name="__me3">{"Book1","4.09 FLORA DAN FAUNA.xls","4.22 PERLENGKAPAN SEKOLAH.xls"}</definedName>
    <definedName name="__me3_1">{"Book1","4.09 FLORA DAN FAUNA.xls","4.22 PERLENGKAPAN SEKOLAH.xls"}</definedName>
    <definedName name="__me3_2">{"Book1","4.09 FLORA DAN FAUNA.xls","4.22 PERLENGKAPAN SEKOLAH.xls"}</definedName>
    <definedName name="__me4">{"Book1","4.09 FLORA DAN FAUNA.xls","4.22 PERLENGKAPAN SEKOLAH.xls"}</definedName>
    <definedName name="__me4_1">{"Book1","4.09 FLORA DAN FAUNA.xls","4.22 PERLENGKAPAN SEKOLAH.xls"}</definedName>
    <definedName name="__me4_2">{"Book1","4.09 FLORA DAN FAUNA.xls","4.22 PERLENGKAPAN SEKOLAH.xls"}</definedName>
    <definedName name="__me5">{"Book1","4.09 FLORA DAN FAUNA.xls","4.22 PERLENGKAPAN SEKOLAH.xls"}</definedName>
    <definedName name="__me5_1">{"Book1","4.09 FLORA DAN FAUNA.xls","4.22 PERLENGKAPAN SEKOLAH.xls"}</definedName>
    <definedName name="__me5_2">{"Book1","4.09 FLORA DAN FAUNA.xls","4.22 PERLENGKAPAN SEKOLAH.xls"}</definedName>
    <definedName name="__me9">{"Book1","4.09 FLORA DAN FAUNA.xls","4.22 PERLENGKAPAN SEKOLAH.xls"}</definedName>
    <definedName name="__me9_1">{"Book1","4.09 FLORA DAN FAUNA.xls","4.22 PERLENGKAPAN SEKOLAH.xls"}</definedName>
    <definedName name="__me9_2">{"Book1","4.09 FLORA DAN FAUNA.xls","4.22 PERLENGKAPAN SEKOLAH.xls"}</definedName>
    <definedName name="__mek1">{"Book1","4.09 FLORA DAN FAUNA.xls","4.22 PERLENGKAPAN SEKOLAH.xls"}</definedName>
    <definedName name="__mek1_1">{"Book1","4.09 FLORA DAN FAUNA.xls","4.22 PERLENGKAPAN SEKOLAH.xls"}</definedName>
    <definedName name="__mek1_2">{"Book1","4.09 FLORA DAN FAUNA.xls","4.22 PERLENGKAPAN SEKOLAH.xls"}</definedName>
    <definedName name="__mek2">{"Book1","4.09 FLORA DAN FAUNA.xls","4.22 PERLENGKAPAN SEKOLAH.xls"}</definedName>
    <definedName name="__mek2_1">{"Book1","4.09 FLORA DAN FAUNA.xls","4.22 PERLENGKAPAN SEKOLAH.xls"}</definedName>
    <definedName name="__mek2_2">{"Book1","4.09 FLORA DAN FAUNA.xls","4.22 PERLENGKAPAN SEKOLAH.xls"}</definedName>
    <definedName name="__mek3">{"Book1","4.09 FLORA DAN FAUNA.xls","4.22 PERLENGKAPAN SEKOLAH.xls"}</definedName>
    <definedName name="__mek3_1">{"Book1","4.09 FLORA DAN FAUNA.xls","4.22 PERLENGKAPAN SEKOLAH.xls"}</definedName>
    <definedName name="__mek3_2">{"Book1","4.09 FLORA DAN FAUNA.xls","4.22 PERLENGKAPAN SEKOLAH.xls"}</definedName>
    <definedName name="__mek5">{"Book1","4.09 FLORA DAN FAUNA.xls","4.22 PERLENGKAPAN SEKOLAH.xls"}</definedName>
    <definedName name="__mek5_1">{"Book1","4.09 FLORA DAN FAUNA.xls","4.22 PERLENGKAPAN SEKOLAH.xls"}</definedName>
    <definedName name="__mek5_2">{"Book1","4.09 FLORA DAN FAUNA.xls","4.22 PERLENGKAPAN SEKOLAH.xls"}</definedName>
    <definedName name="__mek87">{"Book1","4.09 FLORA DAN FAUNA.xls","4.22 PERLENGKAPAN SEKOLAH.xls"}</definedName>
    <definedName name="__mek87_1">{"Book1","4.09 FLORA DAN FAUNA.xls","4.22 PERLENGKAPAN SEKOLAH.xls"}</definedName>
    <definedName name="__mek87_2">{"Book1","4.09 FLORA DAN FAUNA.xls","4.22 PERLENGKAPAN SEKOLAH.xls"}</definedName>
    <definedName name="__mek9">{"Book1","4.09 FLORA DAN FAUNA.xls","4.22 PERLENGKAPAN SEKOLAH.xls"}</definedName>
    <definedName name="__mek9_1">{"Book1","4.09 FLORA DAN FAUNA.xls","4.22 PERLENGKAPAN SEKOLAH.xls"}</definedName>
    <definedName name="__mek9_2">{"Book1","4.09 FLORA DAN FAUNA.xls","4.22 PERLENGKAPAN SEKOLAH.xls"}</definedName>
    <definedName name="__meq12">{"Book1","4.09 FLORA DAN FAUNA.xls","4.22 PERLENGKAPAN SEKOLAH.xls"}</definedName>
    <definedName name="__meq12_1">{"Book1","4.09 FLORA DAN FAUNA.xls","4.22 PERLENGKAPAN SEKOLAH.xls"}</definedName>
    <definedName name="__meq12_2">{"Book1","4.09 FLORA DAN FAUNA.xls","4.22 PERLENGKAPAN SEKOLAH.xls"}</definedName>
    <definedName name="__xlfn.SUMIFS" hidden="1">#NAME?</definedName>
    <definedName name="_164">#N/A</definedName>
    <definedName name="_169">#N/A</definedName>
    <definedName name="_170">#N/A</definedName>
    <definedName name="_172">#N/A</definedName>
    <definedName name="_176">#N/A</definedName>
    <definedName name="_17602">#N/A</definedName>
    <definedName name="_177">#N/A</definedName>
    <definedName name="_18501">#N/A</definedName>
    <definedName name="_207">#N/A</definedName>
    <definedName name="_216">#N/A</definedName>
    <definedName name="_227">#N/A</definedName>
    <definedName name="_234">#N/A</definedName>
    <definedName name="_arr3">{"Book1","4.09 FLORA DAN FAUNA.xls","4.22 PERLENGKAPAN SEKOLAH.xls"}</definedName>
    <definedName name="_arr3_1">{"Book1","4.09 FLORA DAN FAUNA.xls","4.22 PERLENGKAPAN SEKOLAH.xls"}</definedName>
    <definedName name="_arr3_2">{"Book1","4.09 FLORA DAN FAUNA.xls","4.22 PERLENGKAPAN SEKOLAH.xls"}</definedName>
    <definedName name="_der4">{"Book1","4.09 FLORA DAN FAUNA.xls","4.22 PERLENGKAPAN SEKOLAH.xls"}</definedName>
    <definedName name="_der4_1">{"Book1","4.09 FLORA DAN FAUNA.xls","4.22 PERLENGKAPAN SEKOLAH.xls"}</definedName>
    <definedName name="_der4_2">{"Book1","4.09 FLORA DAN FAUNA.xls","4.22 PERLENGKAPAN SEKOLAH.xls"}</definedName>
    <definedName name="_doc5">{"Book1","4.09 FLORA DAN FAUNA.xls","4.22 PERLENGKAPAN SEKOLAH.xls"}</definedName>
    <definedName name="_doc5_1">{"Book1","4.09 FLORA DAN FAUNA.xls","4.22 PERLENGKAPAN SEKOLAH.xls"}</definedName>
    <definedName name="_doc5_2">{"Book1","4.09 FLORA DAN FAUNA.xls","4.22 PERLENGKAPAN SEKOLAH.xls"}</definedName>
    <definedName name="_Fill" hidden="1">#REF!</definedName>
    <definedName name="_FOL2">#REF!</definedName>
    <definedName name="_FOL3">#N/A</definedName>
    <definedName name="_FOL4">#N/A</definedName>
    <definedName name="_Key1" hidden="1">#REF!</definedName>
    <definedName name="_Key2" hidden="1">[2]PI!#REF!</definedName>
    <definedName name="_mas1">{"Book1","4.09 FLORA DAN FAUNA.xls","4.22 PERLENGKAPAN SEKOLAH.xls"}</definedName>
    <definedName name="_mas1_1">{"Book1","4.09 FLORA DAN FAUNA.xls","4.22 PERLENGKAPAN SEKOLAH.xls"}</definedName>
    <definedName name="_mas1_2">{"Book1","4.09 FLORA DAN FAUNA.xls","4.22 PERLENGKAPAN SEKOLAH.xls"}</definedName>
    <definedName name="_mas12">{"Book1","4.09 FLORA DAN FAUNA.xls","4.22 PERLENGKAPAN SEKOLAH.xls"}</definedName>
    <definedName name="_mas12_1">{"Book1","4.09 FLORA DAN FAUNA.xls","4.22 PERLENGKAPAN SEKOLAH.xls"}</definedName>
    <definedName name="_mas12_2">{"Book1","4.09 FLORA DAN FAUNA.xls","4.22 PERLENGKAPAN SEKOLAH.xls"}</definedName>
    <definedName name="_mas2">{"Book1","4.09 FLORA DAN FAUNA.xls","4.22 PERLENGKAPAN SEKOLAH.xls"}</definedName>
    <definedName name="_mas2_1">{"Book1","4.09 FLORA DAN FAUNA.xls","4.22 PERLENGKAPAN SEKOLAH.xls"}</definedName>
    <definedName name="_mas2_2">{"Book1","4.09 FLORA DAN FAUNA.xls","4.22 PERLENGKAPAN SEKOLAH.xls"}</definedName>
    <definedName name="_mas4">{"Book1","4.09 FLORA DAN FAUNA.xls","4.22 PERLENGKAPAN SEKOLAH.xls"}</definedName>
    <definedName name="_mas4_1">{"Book1","4.09 FLORA DAN FAUNA.xls","4.22 PERLENGKAPAN SEKOLAH.xls"}</definedName>
    <definedName name="_mas4_2">{"Book1","4.09 FLORA DAN FAUNA.xls","4.22 PERLENGKAPAN SEKOLAH.xls"}</definedName>
    <definedName name="_mas5">{"Book1","4.09 FLORA DAN FAUNA.xls","4.22 PERLENGKAPAN SEKOLAH.xls"}</definedName>
    <definedName name="_mas5_1">{"Book1","4.09 FLORA DAN FAUNA.xls","4.22 PERLENGKAPAN SEKOLAH.xls"}</definedName>
    <definedName name="_mas5_2">{"Book1","4.09 FLORA DAN FAUNA.xls","4.22 PERLENGKAPAN SEKOLAH.xls"}</definedName>
    <definedName name="_mas6">{"Book1","4.09 FLORA DAN FAUNA.xls","4.22 PERLENGKAPAN SEKOLAH.xls"}</definedName>
    <definedName name="_mas6_1">{"Book1","4.09 FLORA DAN FAUNA.xls","4.22 PERLENGKAPAN SEKOLAH.xls"}</definedName>
    <definedName name="_mas6_2">{"Book1","4.09 FLORA DAN FAUNA.xls","4.22 PERLENGKAPAN SEKOLAH.xls"}</definedName>
    <definedName name="_mas7">{"Book1","4.09 FLORA DAN FAUNA.xls","4.22 PERLENGKAPAN SEKOLAH.xls"}</definedName>
    <definedName name="_mas7_1">{"Book1","4.09 FLORA DAN FAUNA.xls","4.22 PERLENGKAPAN SEKOLAH.xls"}</definedName>
    <definedName name="_mas7_2">{"Book1","4.09 FLORA DAN FAUNA.xls","4.22 PERLENGKAPAN SEKOLAH.xls"}</definedName>
    <definedName name="_mas8">{"Book1","4.09 FLORA DAN FAUNA.xls","4.22 PERLENGKAPAN SEKOLAH.xls"}</definedName>
    <definedName name="_mas8_1">{"Book1","4.09 FLORA DAN FAUNA.xls","4.22 PERLENGKAPAN SEKOLAH.xls"}</definedName>
    <definedName name="_mas8_2">{"Book1","4.09 FLORA DAN FAUNA.xls","4.22 PERLENGKAPAN SEKOLAH.xls"}</definedName>
    <definedName name="_mas9">{"Book1","4.09 FLORA DAN FAUNA.xls","4.22 PERLENGKAPAN SEKOLAH.xls"}</definedName>
    <definedName name="_mas9_1">{"Book1","4.09 FLORA DAN FAUNA.xls","4.22 PERLENGKAPAN SEKOLAH.xls"}</definedName>
    <definedName name="_mas9_2">{"Book1","4.09 FLORA DAN FAUNA.xls","4.22 PERLENGKAPAN SEKOLAH.xls"}</definedName>
    <definedName name="_MatMult_B" hidden="1">#REF!</definedName>
    <definedName name="_me1">{"Book1","4.09 FLORA DAN FAUNA.xls","4.22 PERLENGKAPAN SEKOLAH.xls"}</definedName>
    <definedName name="_me1_1">{"Book1","4.09 FLORA DAN FAUNA.xls","4.22 PERLENGKAPAN SEKOLAH.xls"}</definedName>
    <definedName name="_me1_2">{"Book1","4.09 FLORA DAN FAUNA.xls","4.22 PERLENGKAPAN SEKOLAH.xls"}</definedName>
    <definedName name="_me2">{"Book1","4.09 FLORA DAN FAUNA.xls","4.22 PERLENGKAPAN SEKOLAH.xls"}</definedName>
    <definedName name="_me2_1">{"Book1","4.09 FLORA DAN FAUNA.xls","4.22 PERLENGKAPAN SEKOLAH.xls"}</definedName>
    <definedName name="_me2_2">{"Book1","4.09 FLORA DAN FAUNA.xls","4.22 PERLENGKAPAN SEKOLAH.xls"}</definedName>
    <definedName name="_me3">{"Book1","4.09 FLORA DAN FAUNA.xls","4.22 PERLENGKAPAN SEKOLAH.xls"}</definedName>
    <definedName name="_me3_1">{"Book1","4.09 FLORA DAN FAUNA.xls","4.22 PERLENGKAPAN SEKOLAH.xls"}</definedName>
    <definedName name="_me3_2">{"Book1","4.09 FLORA DAN FAUNA.xls","4.22 PERLENGKAPAN SEKOLAH.xls"}</definedName>
    <definedName name="_me4">{"Book1","4.09 FLORA DAN FAUNA.xls","4.22 PERLENGKAPAN SEKOLAH.xls"}</definedName>
    <definedName name="_me4_1">{"Book1","4.09 FLORA DAN FAUNA.xls","4.22 PERLENGKAPAN SEKOLAH.xls"}</definedName>
    <definedName name="_me4_2">{"Book1","4.09 FLORA DAN FAUNA.xls","4.22 PERLENGKAPAN SEKOLAH.xls"}</definedName>
    <definedName name="_me5">{"Book1","4.09 FLORA DAN FAUNA.xls","4.22 PERLENGKAPAN SEKOLAH.xls"}</definedName>
    <definedName name="_me5_1">{"Book1","4.09 FLORA DAN FAUNA.xls","4.22 PERLENGKAPAN SEKOLAH.xls"}</definedName>
    <definedName name="_me5_2">{"Book1","4.09 FLORA DAN FAUNA.xls","4.22 PERLENGKAPAN SEKOLAH.xls"}</definedName>
    <definedName name="_me9">{"Book1","4.09 FLORA DAN FAUNA.xls","4.22 PERLENGKAPAN SEKOLAH.xls"}</definedName>
    <definedName name="_me9_1">{"Book1","4.09 FLORA DAN FAUNA.xls","4.22 PERLENGKAPAN SEKOLAH.xls"}</definedName>
    <definedName name="_me9_2">{"Book1","4.09 FLORA DAN FAUNA.xls","4.22 PERLENGKAPAN SEKOLAH.xls"}</definedName>
    <definedName name="_mek1">{"Book1","4.09 FLORA DAN FAUNA.xls","4.22 PERLENGKAPAN SEKOLAH.xls"}</definedName>
    <definedName name="_mek1_1">{"Book1","4.09 FLORA DAN FAUNA.xls","4.22 PERLENGKAPAN SEKOLAH.xls"}</definedName>
    <definedName name="_mek1_2">{"Book1","4.09 FLORA DAN FAUNA.xls","4.22 PERLENGKAPAN SEKOLAH.xls"}</definedName>
    <definedName name="_mek2">{"Book1","4.09 FLORA DAN FAUNA.xls","4.22 PERLENGKAPAN SEKOLAH.xls"}</definedName>
    <definedName name="_mek2_1">{"Book1","4.09 FLORA DAN FAUNA.xls","4.22 PERLENGKAPAN SEKOLAH.xls"}</definedName>
    <definedName name="_mek2_2">{"Book1","4.09 FLORA DAN FAUNA.xls","4.22 PERLENGKAPAN SEKOLAH.xls"}</definedName>
    <definedName name="_mek3">{"Book1","4.09 FLORA DAN FAUNA.xls","4.22 PERLENGKAPAN SEKOLAH.xls"}</definedName>
    <definedName name="_mek3_1">{"Book1","4.09 FLORA DAN FAUNA.xls","4.22 PERLENGKAPAN SEKOLAH.xls"}</definedName>
    <definedName name="_mek3_2">{"Book1","4.09 FLORA DAN FAUNA.xls","4.22 PERLENGKAPAN SEKOLAH.xls"}</definedName>
    <definedName name="_mek5">{"Book1","4.09 FLORA DAN FAUNA.xls","4.22 PERLENGKAPAN SEKOLAH.xls"}</definedName>
    <definedName name="_mek5_1">{"Book1","4.09 FLORA DAN FAUNA.xls","4.22 PERLENGKAPAN SEKOLAH.xls"}</definedName>
    <definedName name="_mek5_2">{"Book1","4.09 FLORA DAN FAUNA.xls","4.22 PERLENGKAPAN SEKOLAH.xls"}</definedName>
    <definedName name="_mek87">{"Book1","4.09 FLORA DAN FAUNA.xls","4.22 PERLENGKAPAN SEKOLAH.xls"}</definedName>
    <definedName name="_mek87_1">{"Book1","4.09 FLORA DAN FAUNA.xls","4.22 PERLENGKAPAN SEKOLAH.xls"}</definedName>
    <definedName name="_mek87_2">{"Book1","4.09 FLORA DAN FAUNA.xls","4.22 PERLENGKAPAN SEKOLAH.xls"}</definedName>
    <definedName name="_mek9">{"Book1","4.09 FLORA DAN FAUNA.xls","4.22 PERLENGKAPAN SEKOLAH.xls"}</definedName>
    <definedName name="_mek9_1">{"Book1","4.09 FLORA DAN FAUNA.xls","4.22 PERLENGKAPAN SEKOLAH.xls"}</definedName>
    <definedName name="_mek9_2">{"Book1","4.09 FLORA DAN FAUNA.xls","4.22 PERLENGKAPAN SEKOLAH.xls"}</definedName>
    <definedName name="_meq12">{"Book1","4.09 FLORA DAN FAUNA.xls","4.22 PERLENGKAPAN SEKOLAH.xls"}</definedName>
    <definedName name="_meq12_1">{"Book1","4.09 FLORA DAN FAUNA.xls","4.22 PERLENGKAPAN SEKOLAH.xls"}</definedName>
    <definedName name="_meq12_2">{"Book1","4.09 FLORA DAN FAUNA.xls","4.22 PERLENGKAPAN SEKOLAH.xls"}</definedName>
    <definedName name="_Order1" hidden="1">255</definedName>
    <definedName name="_Order2" hidden="1">255</definedName>
    <definedName name="_Sort" hidden="1">#REF!</definedName>
    <definedName name="a" hidden="1">#REF!</definedName>
    <definedName name="AAAA" hidden="1">[3]PI!#REF!</definedName>
    <definedName name="abcd" hidden="1">{"'报表'!$F$15"}</definedName>
    <definedName name="acdb" hidden="1">#REF!</definedName>
    <definedName name="ACDS" hidden="1">#REF!</definedName>
    <definedName name="ads" hidden="1">#REF!</definedName>
    <definedName name="aret">{"Book1","4.09 FLORA DAN FAUNA.xls","4.22 PERLENGKAPAN SEKOLAH.xls"}</definedName>
    <definedName name="aret_1">{"Book1","4.09 FLORA DAN FAUNA.xls","4.22 PERLENGKAPAN SEKOLAH.xls"}</definedName>
    <definedName name="aret_2">{"Book1","4.09 FLORA DAN FAUNA.xls","4.22 PERLENGKAPAN SEKOLAH.xls"}</definedName>
    <definedName name="arew">{"Book1","4.09 FLORA DAN FAUNA.xls","4.22 PERLENGKAPAN SEKOLAH.xls"}</definedName>
    <definedName name="arew_1">{"Book1","4.09 FLORA DAN FAUNA.xls","4.22 PERLENGKAPAN SEKOLAH.xls"}</definedName>
    <definedName name="arew_2">{"Book1","4.09 FLORA DAN FAUNA.xls","4.22 PERLENGKAPAN SEKOLAH.xls"}</definedName>
    <definedName name="arrq">{"Book1","4.09 FLORA DAN FAUNA.xls","4.22 PERLENGKAPAN SEKOLAH.xls"}</definedName>
    <definedName name="arrq_1">{"Book1","4.09 FLORA DAN FAUNA.xls","4.22 PERLENGKAPAN SEKOLAH.xls"}</definedName>
    <definedName name="arrq_2">{"Book1","4.09 FLORA DAN FAUNA.xls","4.22 PERLENGKAPAN SEKOLAH.xls"}</definedName>
    <definedName name="bnhgfy" hidden="1">{"'报表'!$F$15"}</definedName>
    <definedName name="Bust">#N/A</definedName>
    <definedName name="cc" hidden="1">{"'报表'!$F$15"}</definedName>
    <definedName name="cfdr" hidden="1">{"'报表'!$F$15"}</definedName>
    <definedName name="CONSTR_A02B">#N/A</definedName>
    <definedName name="Continue">#N/A</definedName>
    <definedName name="copy2">#N/A</definedName>
    <definedName name="copy3">#N/A</definedName>
    <definedName name="COST_FACTOR">#N/A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base" hidden="1">#REF!</definedName>
    <definedName name="dd" hidden="1">{"'报表'!$F$15"}</definedName>
    <definedName name="dddddd" hidden="1">{"'报表'!$F$15"}</definedName>
    <definedName name="dert" hidden="1">{"'报表'!$F$15"}</definedName>
    <definedName name="desf" hidden="1">{"'报表'!$F$15"}</definedName>
    <definedName name="dfade" hidden="1">{"'报表'!$F$15"}</definedName>
    <definedName name="dfadg" hidden="1">{"'报表'!$F$15"}</definedName>
    <definedName name="dfr" hidden="1">{"'报表'!$F$15"}</definedName>
    <definedName name="dfs" hidden="1">{"'报表'!$F$15"}</definedName>
    <definedName name="doc">{"Book1","4.09 FLORA DAN FAUNA.xls","4.22 PERLENGKAPAN SEKOLAH.xls"}</definedName>
    <definedName name="doc_1">{"Book1","4.09 FLORA DAN FAUNA.xls","4.22 PERLENGKAPAN SEKOLAH.xls"}</definedName>
    <definedName name="doc_2">{"Book1","4.09 FLORA DAN FAUNA.xls","4.22 PERLENGKAPAN SEKOLAH.xls"}</definedName>
    <definedName name="docr">{"Book1","4.09 FLORA DAN FAUNA.xls","4.22 PERLENGKAPAN SEKOLAH.xls"}</definedName>
    <definedName name="docr_1">{"Book1","4.09 FLORA DAN FAUNA.xls","4.22 PERLENGKAPAN SEKOLAH.xls"}</definedName>
    <definedName name="docr_2">{"Book1","4.09 FLORA DAN FAUNA.xls","4.22 PERLENGKAPAN SEKOLAH.xls"}</definedName>
    <definedName name="docter">{"Book1","4.09 FLORA DAN FAUNA.xls","4.22 PERLENGKAPAN SEKOLAH.xls"}</definedName>
    <definedName name="docter_1">{"Book1","4.09 FLORA DAN FAUNA.xls","4.22 PERLENGKAPAN SEKOLAH.xls"}</definedName>
    <definedName name="docter_2">{"Book1","4.09 FLORA DAN FAUNA.xls","4.22 PERLENGKAPAN SEKOLAH.xls"}</definedName>
    <definedName name="Document_array">{"Book1","4.09 FLORA DAN FAUNA.xls","4.22 PERLENGKAPAN SEKOLAH.xls"}</definedName>
    <definedName name="Document_array_1">{"Book1","4.09 FLORA DAN FAUNA.xls","4.22 PERLENGKAPAN SEKOLAH.xls"}</definedName>
    <definedName name="Document_array_2">{"Book1","4.09 FLORA DAN FAUNA.xls","4.22 PERLENGKAPAN SEKOLAH.xls"}</definedName>
    <definedName name="Documents_array">#N/A</definedName>
    <definedName name="DOLAR">#N/A</definedName>
    <definedName name="DR1504ST008" hidden="1">{"'报表'!$F$15"}</definedName>
    <definedName name="dragon" hidden="1">{"'报表'!$F$15"}</definedName>
    <definedName name="dre" hidden="1">{"'报表'!$F$15"}</definedName>
    <definedName name="dsert" hidden="1">{"'报表'!$F$15"}</definedName>
    <definedName name="Ea" hidden="1">'[4]POL6차-PIPING'!#REF!</definedName>
    <definedName name="exl" hidden="1">{"'报表'!$F$15"}</definedName>
    <definedName name="fgtrcv" hidden="1">{"'报表'!$F$15"}</definedName>
    <definedName name="fgytr" hidden="1">{"'报表'!$F$15"}</definedName>
    <definedName name="fill2" hidden="1">#REF!</definedName>
    <definedName name="fill9" hidden="1">#REF!</definedName>
    <definedName name="ger">{"Book1","4.09 FLORA DAN FAUNA.xls","4.22 PERLENGKAPAN SEKOLAH.xls"}</definedName>
    <definedName name="ger_1">{"Book1","4.09 FLORA DAN FAUNA.xls","4.22 PERLENGKAPAN SEKOLAH.xls"}</definedName>
    <definedName name="ger_2">{"Book1","4.09 FLORA DAN FAUNA.xls","4.22 PERLENGKAPAN SEKOLAH.xls"}</definedName>
    <definedName name="ghjkl" hidden="1">{"'报表'!$F$15"}</definedName>
    <definedName name="ghy" hidden="1">{"'报表'!$F$15"}</definedName>
    <definedName name="gj" hidden="1">{"'报表'!$F$15"}</definedName>
    <definedName name="gjbki" hidden="1">{"'报表'!$F$15"}</definedName>
    <definedName name="gssg" hidden="1">{"'报表'!$F$15"}</definedName>
    <definedName name="h" hidden="1">{"'报表'!$F$15"}</definedName>
    <definedName name="Hello">#N/A</definedName>
    <definedName name="hjifreo" hidden="1">{"'报表'!$F$15"}</definedName>
    <definedName name="hkf" hidden="1">{"'报表'!$F$15"}</definedName>
    <definedName name="HT" hidden="1">{"'报表'!$F$15"}</definedName>
    <definedName name="HTML_CodePage" hidden="1">936</definedName>
    <definedName name="HTML_Control" hidden="1">{"'报表'!$F$15"}</definedName>
    <definedName name="HTML_Description" hidden="1">""</definedName>
    <definedName name="HTML_Email" hidden="1">""</definedName>
    <definedName name="HTML_Header" hidden="1">"报表"</definedName>
    <definedName name="HTML_LastUpdate" hidden="1">"03-2-13"</definedName>
    <definedName name="HTML_LineAfter" hidden="1">FALSE</definedName>
    <definedName name="HTML_LineBefore" hidden="1">FALSE</definedName>
    <definedName name="HTML_Name" hidden="1">"tjd"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"1月"</definedName>
    <definedName name="hz" hidden="1">{"'报表'!$F$15"}</definedName>
    <definedName name="input3">#N/A</definedName>
    <definedName name="IntroPrintArea" hidden="1">#REF!</definedName>
    <definedName name="iuop" hidden="1">{"'报表'!$F$15"}</definedName>
    <definedName name="jhu" hidden="1">{"'报表'!$F$15"}</definedName>
    <definedName name="jiuyb" hidden="1">{"'报表'!$F$15"}</definedName>
    <definedName name="jj" hidden="1">{"'报表'!$F$15"}</definedName>
    <definedName name="jklop" hidden="1">{"'报表'!$F$15"}</definedName>
    <definedName name="ju">{"Book1","4.09 FLORA DAN FAUNA.xls","4.22 PERLENGKAPAN SEKOLAH.xls"}</definedName>
    <definedName name="ju_1">{"Book1","4.09 FLORA DAN FAUNA.xls","4.22 PERLENGKAPAN SEKOLAH.xls"}</definedName>
    <definedName name="ju_2">{"Book1","4.09 FLORA DAN FAUNA.xls","4.22 PERLENGKAPAN SEKOLAH.xls"}</definedName>
    <definedName name="kjh" hidden="1">{"'报表'!$F$15"}</definedName>
    <definedName name="Last_Row">#N/A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h" hidden="1">{"'报表'!$F$15"}</definedName>
    <definedName name="lmbv" hidden="1">{"'报表'!$F$15"}</definedName>
    <definedName name="mas">{"Book1","4.09 FLORA DAN FAUNA.xls","4.22 PERLENGKAPAN SEKOLAH.xls"}</definedName>
    <definedName name="mas_1">{"Book1","4.09 FLORA DAN FAUNA.xls","4.22 PERLENGKAPAN SEKOLAH.xls"}</definedName>
    <definedName name="mas_2">{"Book1","4.09 FLORA DAN FAUNA.xls","4.22 PERLENGKAPAN SEKOLAH.xls"}</definedName>
    <definedName name="mas0">{"Book1","4.09 FLORA DAN FAUNA.xls","4.22 PERLENGKAPAN SEKOLAH.xls"}</definedName>
    <definedName name="mas0_1">{"Book1","4.09 FLORA DAN FAUNA.xls","4.22 PERLENGKAPAN SEKOLAH.xls"}</definedName>
    <definedName name="mas0_2">{"Book1","4.09 FLORA DAN FAUNA.xls","4.22 PERLENGKAPAN SEKOLAH.xls"}</definedName>
    <definedName name="masd">{"Book1","4.09 FLORA DAN FAUNA.xls","4.22 PERLENGKAPAN SEKOLAH.xls"}</definedName>
    <definedName name="masd_1">{"Book1","4.09 FLORA DAN FAUNA.xls","4.22 PERLENGKAPAN SEKOLAH.xls"}</definedName>
    <definedName name="masd_2">{"Book1","4.09 FLORA DAN FAUNA.xls","4.22 PERLENGKAPAN SEKOLAH.xls"}</definedName>
    <definedName name="masf">{"Book1","4.09 FLORA DAN FAUNA.xls","4.22 PERLENGKAPAN SEKOLAH.xls"}</definedName>
    <definedName name="masf_1">{"Book1","4.09 FLORA DAN FAUNA.xls","4.22 PERLENGKAPAN SEKOLAH.xls"}</definedName>
    <definedName name="masf_2">{"Book1","4.09 FLORA DAN FAUNA.xls","4.22 PERLENGKAPAN SEKOLAH.xls"}</definedName>
    <definedName name="mast">{"Book1","4.09 FLORA DAN FAUNA.xls","4.22 PERLENGKAPAN SEKOLAH.xls"}</definedName>
    <definedName name="mast_1">{"Book1","4.09 FLORA DAN FAUNA.xls","4.22 PERLENGKAPAN SEKOLAH.xls"}</definedName>
    <definedName name="mast_2">{"Book1","4.09 FLORA DAN FAUNA.xls","4.22 PERLENGKAPAN SEKOLAH.xls"}</definedName>
    <definedName name="mat">{"Book1","4.09 FLORA DAN FAUNA.xls","4.22 PERLENGKAPAN SEKOLAH.xls"}</definedName>
    <definedName name="mat_1">{"Book1","4.09 FLORA DAN FAUNA.xls","4.22 PERLENGKAPAN SEKOLAH.xls"}</definedName>
    <definedName name="mat_2">{"Book1","4.09 FLORA DAN FAUNA.xls","4.22 PERLENGKAPAN SEKOLAH.xls"}</definedName>
    <definedName name="MATL_A02B">#N/A</definedName>
    <definedName name="may">{"Book1","4.09 FLORA DAN FAUNA.xls","4.22 PERLENGKAPAN SEKOLAH.xls"}</definedName>
    <definedName name="may_1">{"Book1","4.09 FLORA DAN FAUNA.xls","4.22 PERLENGKAPAN SEKOLAH.xls"}</definedName>
    <definedName name="may_2">{"Book1","4.09 FLORA DAN FAUNA.xls","4.22 PERLENGKAPAN SEKOLAH.xls"}</definedName>
    <definedName name="Me">{"Book1","4.09 FLORA DAN FAUNA.xls","4.22 PERLENGKAPAN SEKOLAH.xls"}</definedName>
    <definedName name="Me_1">{"Book1","4.09 FLORA DAN FAUNA.xls","4.22 PERLENGKAPAN SEKOLAH.xls"}</definedName>
    <definedName name="Me_2">{"Book1","4.09 FLORA DAN FAUNA.xls","4.22 PERLENGKAPAN SEKOLAH.xls"}</definedName>
    <definedName name="mef">{"Book1","4.09 FLORA DAN FAUNA.xls","4.22 PERLENGKAPAN SEKOLAH.xls"}</definedName>
    <definedName name="mef_1">{"Book1","4.09 FLORA DAN FAUNA.xls","4.22 PERLENGKAPAN SEKOLAH.xls"}</definedName>
    <definedName name="mef_2">{"Book1","4.09 FLORA DAN FAUNA.xls","4.22 PERLENGKAPAN SEKOLAH.xls"}</definedName>
    <definedName name="mek">{"Book1","4.09 FLORA DAN FAUNA.xls","4.22 PERLENGKAPAN SEKOLAH.xls"}</definedName>
    <definedName name="mek_1">{"Book1","4.09 FLORA DAN FAUNA.xls","4.22 PERLENGKAPAN SEKOLAH.xls"}</definedName>
    <definedName name="mek_2">{"Book1","4.09 FLORA DAN FAUNA.xls","4.22 PERLENGKAPAN SEKOLAH.xls"}</definedName>
    <definedName name="meka">{"Book1","4.09 FLORA DAN FAUNA.xls","4.22 PERLENGKAPAN SEKOLAH.xls"}</definedName>
    <definedName name="meka_1">{"Book1","4.09 FLORA DAN FAUNA.xls","4.22 PERLENGKAPAN SEKOLAH.xls"}</definedName>
    <definedName name="meka_2">{"Book1","4.09 FLORA DAN FAUNA.xls","4.22 PERLENGKAPAN SEKOLAH.xls"}</definedName>
    <definedName name="mekar">{"Book1","4.09 FLORA DAN FAUNA.xls","4.22 PERLENGKAPAN SEKOLAH.xls"}</definedName>
    <definedName name="mekar_1">{"Book1","4.09 FLORA DAN FAUNA.xls","4.22 PERLENGKAPAN SEKOLAH.xls"}</definedName>
    <definedName name="mekar_2">{"Book1","4.09 FLORA DAN FAUNA.xls","4.22 PERLENGKAPAN SEKOLAH.xls"}</definedName>
    <definedName name="mekd">{"Book1","4.09 FLORA DAN FAUNA.xls","4.22 PERLENGKAPAN SEKOLAH.xls"}</definedName>
    <definedName name="mekd_1">{"Book1","4.09 FLORA DAN FAUNA.xls","4.22 PERLENGKAPAN SEKOLAH.xls"}</definedName>
    <definedName name="mekd_2">{"Book1","4.09 FLORA DAN FAUNA.xls","4.22 PERLENGKAPAN SEKOLAH.xls"}</definedName>
    <definedName name="meke">{"Book1","4.09 FLORA DAN FAUNA.xls","4.22 PERLENGKAPAN SEKOLAH.xls"}</definedName>
    <definedName name="meke_1">{"Book1","4.09 FLORA DAN FAUNA.xls","4.22 PERLENGKAPAN SEKOLAH.xls"}</definedName>
    <definedName name="meke_2">{"Book1","4.09 FLORA DAN FAUNA.xls","4.22 PERLENGKAPAN SEKOLAH.xls"}</definedName>
    <definedName name="mekf">{"Book1","4.09 FLORA DAN FAUNA.xls","4.22 PERLENGKAPAN SEKOLAH.xls"}</definedName>
    <definedName name="mekf_1">{"Book1","4.09 FLORA DAN FAUNA.xls","4.22 PERLENGKAPAN SEKOLAH.xls"}</definedName>
    <definedName name="mekf_2">{"Book1","4.09 FLORA DAN FAUNA.xls","4.22 PERLENGKAPAN SEKOLAH.xls"}</definedName>
    <definedName name="meki">{"Book1","4.09 FLORA DAN FAUNA.xls","4.22 PERLENGKAPAN SEKOLAH.xls"}</definedName>
    <definedName name="meki_1">{"Book1","4.09 FLORA DAN FAUNA.xls","4.22 PERLENGKAPAN SEKOLAH.xls"}</definedName>
    <definedName name="meki_2">{"Book1","4.09 FLORA DAN FAUNA.xls","4.22 PERLENGKAPAN SEKOLAH.xls"}</definedName>
    <definedName name="mekl">{"Book1","4.09 FLORA DAN FAUNA.xls","4.22 PERLENGKAPAN SEKOLAH.xls"}</definedName>
    <definedName name="mekl_1">{"Book1","4.09 FLORA DAN FAUNA.xls","4.22 PERLENGKAPAN SEKOLAH.xls"}</definedName>
    <definedName name="mekl_2">{"Book1","4.09 FLORA DAN FAUNA.xls","4.22 PERLENGKAPAN SEKOLAH.xls"}</definedName>
    <definedName name="meko">{"Book1","4.09 FLORA DAN FAUNA.xls","4.22 PERLENGKAPAN SEKOLAH.xls"}</definedName>
    <definedName name="meko_1">{"Book1","4.09 FLORA DAN FAUNA.xls","4.22 PERLENGKAPAN SEKOLAH.xls"}</definedName>
    <definedName name="meko_2">{"Book1","4.09 FLORA DAN FAUNA.xls","4.22 PERLENGKAPAN SEKOLAH.xls"}</definedName>
    <definedName name="mekot">{"Book1","4.09 FLORA DAN FAUNA.xls","4.22 PERLENGKAPAN SEKOLAH.xls"}</definedName>
    <definedName name="mekot_1">{"Book1","4.09 FLORA DAN FAUNA.xls","4.22 PERLENGKAPAN SEKOLAH.xls"}</definedName>
    <definedName name="mekot_2">{"Book1","4.09 FLORA DAN FAUNA.xls","4.22 PERLENGKAPAN SEKOLAH.xls"}</definedName>
    <definedName name="mekp">{"Book1","4.09 FLORA DAN FAUNA.xls","4.22 PERLENGKAPAN SEKOLAH.xls"}</definedName>
    <definedName name="mekp_1">{"Book1","4.09 FLORA DAN FAUNA.xls","4.22 PERLENGKAPAN SEKOLAH.xls"}</definedName>
    <definedName name="mekp_2">{"Book1","4.09 FLORA DAN FAUNA.xls","4.22 PERLENGKAPAN SEKOLAH.xls"}</definedName>
    <definedName name="mekpli">{"Book1","4.09 FLORA DAN FAUNA.xls","4.22 PERLENGKAPAN SEKOLAH.xls"}</definedName>
    <definedName name="mekpli_1">{"Book1","4.09 FLORA DAN FAUNA.xls","4.22 PERLENGKAPAN SEKOLAH.xls"}</definedName>
    <definedName name="mekpli_2">{"Book1","4.09 FLORA DAN FAUNA.xls","4.22 PERLENGKAPAN SEKOLAH.xls"}</definedName>
    <definedName name="meku">{"Book1","4.09 FLORA DAN FAUNA.xls","4.22 PERLENGKAPAN SEKOLAH.xls"}</definedName>
    <definedName name="meku_1">{"Book1","4.09 FLORA DAN FAUNA.xls","4.22 PERLENGKAPAN SEKOLAH.xls"}</definedName>
    <definedName name="meku_2">{"Book1","4.09 FLORA DAN FAUNA.xls","4.22 PERLENGKAPAN SEKOLAH.xls"}</definedName>
    <definedName name="meq">{"Book1","4.09 FLORA DAN FAUNA.xls","4.22 PERLENGKAPAN SEKOLAH.xls"}</definedName>
    <definedName name="meq_1">{"Book1","4.09 FLORA DAN FAUNA.xls","4.22 PERLENGKAPAN SEKOLAH.xls"}</definedName>
    <definedName name="meq_2">{"Book1","4.09 FLORA DAN FAUNA.xls","4.22 PERLENGKAPAN SEKOLAH.xls"}</definedName>
    <definedName name="mer">{"Book1","4.09 FLORA DAN FAUNA.xls","4.22 PERLENGKAPAN SEKOLAH.xls"}</definedName>
    <definedName name="mer_1">{"Book1","4.09 FLORA DAN FAUNA.xls","4.22 PERLENGKAPAN SEKOLAH.xls"}</definedName>
    <definedName name="mer_2">{"Book1","4.09 FLORA DAN FAUNA.xls","4.22 PERLENGKAPAN SEKOLAH.xls"}</definedName>
    <definedName name="merah">{"Book1","4.09 FLORA DAN FAUNA.xls","4.22 PERLENGKAPAN SEKOLAH.xls"}</definedName>
    <definedName name="merah_1">{"Book1","4.09 FLORA DAN FAUNA.xls","4.22 PERLENGKAPAN SEKOLAH.xls"}</definedName>
    <definedName name="merah_2">{"Book1","4.09 FLORA DAN FAUNA.xls","4.22 PERLENGKAPAN SEKOLAH.xls"}</definedName>
    <definedName name="mes">{"Book1","4.09 FLORA DAN FAUNA.xls","4.22 PERLENGKAPAN SEKOLAH.xls"}</definedName>
    <definedName name="mes_1">{"Book1","4.09 FLORA DAN FAUNA.xls","4.22 PERLENGKAPAN SEKOLAH.xls"}</definedName>
    <definedName name="mes_2">{"Book1","4.09 FLORA DAN FAUNA.xls","4.22 PERLENGKAPAN SEKOLAH.xls"}</definedName>
    <definedName name="met">{"Book1","4.09 FLORA DAN FAUNA.xls","4.22 PERLENGKAPAN SEKOLAH.xls"}</definedName>
    <definedName name="met_1">{"Book1","4.09 FLORA DAN FAUNA.xls","4.22 PERLENGKAPAN SEKOLAH.xls"}</definedName>
    <definedName name="met_2">{"Book1","4.09 FLORA DAN FAUNA.xls","4.22 PERLENGKAPAN SEKOLAH.xls"}</definedName>
    <definedName name="meu">{"Book1","4.09 FLORA DAN FAUNA.xls","4.22 PERLENGKAPAN SEKOLAH.xls"}</definedName>
    <definedName name="meu_1">{"Book1","4.09 FLORA DAN FAUNA.xls","4.22 PERLENGKAPAN SEKOLAH.xls"}</definedName>
    <definedName name="meu_2">{"Book1","4.09 FLORA DAN FAUNA.xls","4.22 PERLENGKAPAN SEKOLAH.xls"}</definedName>
    <definedName name="mev">{"Book1","4.09 FLORA DAN FAUNA.xls","4.22 PERLENGKAPAN SEKOLAH.xls"}</definedName>
    <definedName name="mev_1">{"Book1","4.09 FLORA DAN FAUNA.xls","4.22 PERLENGKAPAN SEKOLAH.xls"}</definedName>
    <definedName name="mev_2">{"Book1","4.09 FLORA DAN FAUNA.xls","4.22 PERLENGKAPAN SEKOLAH.xls"}</definedName>
    <definedName name="mew">{"Book1","4.09 FLORA DAN FAUNA.xls","4.22 PERLENGKAPAN SEKOLAH.xls"}</definedName>
    <definedName name="mew_1">{"Book1","4.09 FLORA DAN FAUNA.xls","4.22 PERLENGKAPAN SEKOLAH.xls"}</definedName>
    <definedName name="mew_2">{"Book1","4.09 FLORA DAN FAUNA.xls","4.22 PERLENGKAPAN SEKOLAH.xls"}</definedName>
    <definedName name="mey">{"Book1","4.09 FLORA DAN FAUNA.xls","4.22 PERLENGKAPAN SEKOLAH.xls"}</definedName>
    <definedName name="mey_1">{"Book1","4.09 FLORA DAN FAUNA.xls","4.22 PERLENGKAPAN SEKOLAH.xls"}</definedName>
    <definedName name="mey_2">{"Book1","4.09 FLORA DAN FAUNA.xls","4.22 PERLENGKAPAN SEKOLAH.xls"}</definedName>
    <definedName name="meyi">{"Book1","4.09 FLORA DAN FAUNA.xls","4.22 PERLENGKAPAN SEKOLAH.xls"}</definedName>
    <definedName name="meyi_1">{"Book1","4.09 FLORA DAN FAUNA.xls","4.22 PERLENGKAPAN SEKOLAH.xls"}</definedName>
    <definedName name="meyi_2">{"Book1","4.09 FLORA DAN FAUNA.xls","4.22 PERLENGKAPAN SEKOLAH.xls"}</definedName>
    <definedName name="mkjlx" hidden="1">{"'报表'!$F$15"}</definedName>
    <definedName name="no" hidden="1">{"'报表'!$F$15"}</definedName>
    <definedName name="no_1">{"Book1","4.09 FLORA DAN FAUNA.xls","4.22 PERLENGKAPAN SEKOLAH.xls"}</definedName>
    <definedName name="no_2">{"Book1","4.09 FLORA DAN FAUNA.xls","4.22 PERLENGKAPAN SEKOLAH.xls"}</definedName>
    <definedName name="no_3">{"Book1","4.09 FLORA DAN FAUNA.xls","4.22 PERLENGKAPAN SEKOLAH.xls"}</definedName>
    <definedName name="o" hidden="1">{"'报表'!$F$15"}</definedName>
    <definedName name="oipm" hidden="1">{"'报表'!$F$15"}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k" hidden="1">{"'报表'!$F$15"}</definedName>
    <definedName name="poiuy" hidden="1">{"'报表'!$F$15"}</definedName>
    <definedName name="PopCache_UPLOAD_DATA_P_ATTRIBUTE_CATEGORY" hidden="1">[5]PopCache!$C$1:$C$9</definedName>
    <definedName name="PopCache_UPLOAD_DATA_P_ATTRIBUTE13" hidden="1">[5]PopCache!$E$1:$E$43</definedName>
    <definedName name="PopCache_UPLOAD_DATA_P_ATTRIBUTE4" hidden="1">[5]PopCache!$F$1:$F$30</definedName>
    <definedName name="PopCache_UPLOAD_DATA_P_ATTRIBUTE6" hidden="1">[5]PopCache!$D$1:$D$17</definedName>
    <definedName name="PopCache_UPLOAD_DATA_P_ATTRIBUTE7" hidden="1">[5]PopCache!$G$1:$G$2</definedName>
    <definedName name="PopCache_UPLOAD_DATA_P_DLVR_TYPE_ID" hidden="1">[5]PopCache!$A$1</definedName>
    <definedName name="PopCache_UPLOAD_DATA_P_OPERATION_MODE" hidden="1">[5]PopCache!$B$1:$B$3</definedName>
    <definedName name="price_BR">#N/A</definedName>
    <definedName name="price_BU">#N/A</definedName>
    <definedName name="_xlnm.Print_Titles" hidden="1">#N/A</definedName>
    <definedName name="qdz" hidden="1">[3]PI!#REF!</definedName>
    <definedName name="qm" hidden="1">{"'报表'!$F$15"}</definedName>
    <definedName name="qweqweqw" hidden="1">{"'报表'!$F$15"}</definedName>
    <definedName name="qwqw" hidden="1">{"'报表'!$F$15"}</definedName>
    <definedName name="qwwee">{"Book1","4.09 FLORA DAN FAUNA.xls","4.22 PERLENGKAPAN SEKOLAH.xls"}</definedName>
    <definedName name="qwwee_1">{"Book1","4.09 FLORA DAN FAUNA.xls","4.22 PERLENGKAPAN SEKOLAH.xls"}</definedName>
    <definedName name="qwwee_2">{"Book1","4.09 FLORA DAN FAUNA.xls","4.22 PERLENGKAPAN SEKOLAH.xls"}</definedName>
    <definedName name="rew">{"Book1","4.09 FLORA DAN FAUNA.xls","4.22 PERLENGKAPAN SEKOLAH.xls"}</definedName>
    <definedName name="rew_1">{"Book1","4.09 FLORA DAN FAUNA.xls","4.22 PERLENGKAPAN SEKOLAH.xls"}</definedName>
    <definedName name="rew_2">{"Book1","4.09 FLORA DAN FAUNA.xls","4.22 PERLENGKAPAN SEKOLAH.xls"}</definedName>
    <definedName name="rtfy" hidden="1">{"'报表'!$F$15"}</definedName>
    <definedName name="sdg" hidden="1">{"'报表'!$F$15"}</definedName>
    <definedName name="SDSS我132" hidden="1">{"'报表'!$F$15"}</definedName>
    <definedName name="sldgn" hidden="1">{"'报表'!$F$15"}</definedName>
    <definedName name="sss" hidden="1">{"'报表'!$F$15"}</definedName>
    <definedName name="TaxTV">10%</definedName>
    <definedName name="TaxXL">5%</definedName>
    <definedName name="ter">{"Book1","4.09 FLORA DAN FAUNA.xls","4.22 PERLENGKAPAN SEKOLAH.xls"}</definedName>
    <definedName name="ter_1">{"Book1","4.09 FLORA DAN FAUNA.xls","4.22 PERLENGKAPAN SEKOLAH.xls"}</definedName>
    <definedName name="ter_2">{"Book1","4.09 FLORA DAN FAUNA.xls","4.22 PERLENGKAPAN SEKOLAH.xls"}</definedName>
    <definedName name="tg" hidden="1">{"'报表'!$F$15"}</definedName>
    <definedName name="tgf" hidden="1">{"'报表'!$F$15"}</definedName>
    <definedName name="try" hidden="1">{"'报表'!$F$15"}</definedName>
    <definedName name="ui" hidden="1">{"'报表'!$F$15"}</definedName>
    <definedName name="ULTR">#N/A</definedName>
    <definedName name="v">"BP-0-104-1805_"</definedName>
    <definedName name="vgfsd" hidden="1">{"'报表'!$F$15"}</definedName>
    <definedName name="vvgfdrt" hidden="1">{"'报表'!$F$15"}</definedName>
    <definedName name="vvv" hidden="1">{"'报表'!$F$15"}</definedName>
    <definedName name="W" hidden="1">[6]PI!#REF!</definedName>
    <definedName name="WE" hidden="1">[3]PI!#REF!</definedName>
    <definedName name="wedsf" hidden="1">{"'报表'!$F$15"}</definedName>
    <definedName name="WERD" hidden="1">#REF!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" hidden="1">#REF!</definedName>
    <definedName name="XLRPARAMS_GCMC" hidden="1">[7]XLR_NoRangeSheet!$B$6</definedName>
    <definedName name="yes">{"Book1","4.09 FLORA DAN FAUNA.xls","4.22 PERLENGKAPAN SEKOLAH.xls"}</definedName>
    <definedName name="yes_1">{"Book1","4.09 FLORA DAN FAUNA.xls","4.22 PERLENGKAPAN SEKOLAH.xls"}</definedName>
    <definedName name="yes_2">{"Book1","4.09 FLORA DAN FAUNA.xls","4.22 PERLENGKAPAN SEKOLAH.xls"}</definedName>
    <definedName name="Z_09F1F36E_B8A3_491C_89C9_D00232BEB8F7_.wvu.FilterData" hidden="1">#REF!</definedName>
    <definedName name="zt" hidden="1">{"'报表'!$F$15"}</definedName>
    <definedName name="爱爱爱" hidden="1">{"'报表'!$F$15"}</definedName>
    <definedName name="八钢拜城投资" hidden="1">{"'报表'!$F$15"}</definedName>
    <definedName name="报价审批单" hidden="1">#REF!</definedName>
    <definedName name="备件" hidden="1">{"'报表'!$F$15"}</definedName>
    <definedName name="表１总" hidden="1">{"'报表'!$F$15"}</definedName>
    <definedName name="表名">"Dummy"</definedName>
    <definedName name="车间">#N/A</definedName>
    <definedName name="的" hidden="1">{"'报表'!$F$15"}</definedName>
    <definedName name="电气、自动化、仪表" hidden="1">{"'报表'!$F$15"}</definedName>
    <definedName name="电气1">#N/A</definedName>
    <definedName name="对比表" hidden="1">{"'报表'!$F$15"}</definedName>
    <definedName name="对比表1" hidden="1">{"'报表'!$F$15"}</definedName>
    <definedName name="负荷计算" hidden="1">{"'报表'!$F$15"}</definedName>
    <definedName name="附表1" hidden="1">{"'报表'!$F$15"}</definedName>
    <definedName name="高线工程描述对比" hidden="1">{"'报表'!$F$15"}</definedName>
    <definedName name="给排水" hidden="1">{"'报表'!$F$15"}</definedName>
    <definedName name="汇总2" hidden="1">{"'报表'!$F$15"}</definedName>
    <definedName name="甲供材料计算" hidden="1">{"'报表'!$F$15"}</definedName>
    <definedName name="建龙" hidden="1">{"'报表'!$F$15"}</definedName>
    <definedName name="建龙抚顺" hidden="1">{"'报表'!$F$15"}</definedName>
    <definedName name="进口备件" hidden="1">{"'报表'!$F$15"}</definedName>
    <definedName name="静态投资">#N/A</definedName>
    <definedName name="木木木木林" hidden="1">{"'报表'!$F$15"}</definedName>
    <definedName name="攀成钢业主版" hidden="1">{"'报表'!$F$15"}</definedName>
    <definedName name="设备" hidden="1">{"'报表'!$F$15"}</definedName>
    <definedName name="四条线">#N/A</definedName>
    <definedName name="铁、钢、轧汇总表" hidden="1">{"'报表'!$F$15"}</definedName>
    <definedName name="ㅁㄱ해ㅜ5" hidden="1">[8]PI!#REF!</definedName>
    <definedName name="学习" hidden="1">{"'报表'!$F$15"}</definedName>
    <definedName name="烟囱单价测算表" hidden="1">{"'报表'!$F$15"}</definedName>
    <definedName name="尹同耀" hidden="1">{"'报表'!$F$15"}</definedName>
    <definedName name="印刷">#N/A</definedName>
    <definedName name="装出料炉门提升" hidden="1">{"'报表'!$F$15"}</definedName>
    <definedName name="祖">#N/A</definedName>
    <definedName name="ㅇㅇㅇ" hidden="1">[9]PI!#REF!</definedName>
    <definedName name="ㅇㅇㅇㅇ" hidden="1">[10]PI!#REF!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<sst xmlns="http://schemas.openxmlformats.org/spreadsheetml/2006/main" count="9776" uniqueCount="3155">
  <si>
    <t>序号</t>
  </si>
  <si>
    <t>系统</t>
  </si>
  <si>
    <t>物料类型</t>
  </si>
  <si>
    <t xml:space="preserve">项目名称  </t>
  </si>
  <si>
    <t>型号、规格及技术性能</t>
  </si>
  <si>
    <t>单位</t>
  </si>
  <si>
    <t>数量</t>
  </si>
  <si>
    <t>一</t>
  </si>
  <si>
    <t>副原料上料系统</t>
  </si>
  <si>
    <t>机械设备</t>
  </si>
  <si>
    <t>振动给料机</t>
  </si>
  <si>
    <t>Q=200t/h</t>
  </si>
  <si>
    <t>台</t>
  </si>
  <si>
    <t>R101胶带输送机</t>
  </si>
  <si>
    <t>BW=800mm，Q=200t/h，V=1.6m/s</t>
  </si>
  <si>
    <t>条</t>
  </si>
  <si>
    <t>R102胶带输送机</t>
  </si>
  <si>
    <t>R103胶带输送机</t>
  </si>
  <si>
    <t>R104胶带输送机</t>
  </si>
  <si>
    <t>副原料卸料小车</t>
  </si>
  <si>
    <t>B=800mm，v=1.6m/s 、Q=200t/h、行走速
度v=0.3m/s，卸料方
式：双侧同时卸料</t>
  </si>
  <si>
    <t>辆</t>
  </si>
  <si>
    <t>落灰溜管</t>
  </si>
  <si>
    <t>套</t>
  </si>
  <si>
    <t>弃料箱</t>
  </si>
  <si>
    <t>体积：1 m3</t>
  </si>
  <si>
    <t>个</t>
  </si>
  <si>
    <t>电动葫芦3t</t>
  </si>
  <si>
    <t>起重量：Q=3 t，
起升高度：H≈18 m</t>
  </si>
  <si>
    <t>电动葫芦5t</t>
  </si>
  <si>
    <t>起重量：Q=5t，
起升高度：H≈18 m</t>
  </si>
  <si>
    <t>电动葫芦10t</t>
  </si>
  <si>
    <t>起重量：Q=10t，
起升高度：H≈60m</t>
  </si>
  <si>
    <t>起重量：Q=3 t，
起升高度：H≈48m</t>
  </si>
  <si>
    <t>小计</t>
  </si>
  <si>
    <t>二</t>
  </si>
  <si>
    <t>铁合金上料系统</t>
  </si>
  <si>
    <t>地下料仓振动给料机</t>
  </si>
  <si>
    <t>T101带式输送机</t>
  </si>
  <si>
    <t>BW= 800mm，Q=200t/h，V=1.6m/s</t>
  </si>
  <si>
    <t>T102带式输送机</t>
  </si>
  <si>
    <t>T103带式输送机</t>
  </si>
  <si>
    <t>T104带式输送机</t>
  </si>
  <si>
    <t>T105带式输送机</t>
  </si>
  <si>
    <t>T106带式输送机</t>
  </si>
  <si>
    <t>T107带式输送机</t>
  </si>
  <si>
    <t>铁合金三通卸料车</t>
  </si>
  <si>
    <t>B=800mm，v=1.6m/s 、Q=200t/h、行走速
度v=0.3m/s，卸料方
式：两侧卸料，左、
右两侧卸料不同时</t>
  </si>
  <si>
    <t>LF四通卸料车</t>
  </si>
  <si>
    <t>B=800mm，v=1.6m/s 、Q=200t/h、行走速
度v=0.3m/s，卸料方
式：可头部卸料，也
可两侧卸料，左、右
两侧卸料不同时</t>
  </si>
  <si>
    <t>RH三通卸料车</t>
  </si>
  <si>
    <t>B=800 mm，
输送物料：铁合金等,
Q=200 t/h,
带接近开关20个,
切换三通式卸料,
带电液推杆1台,
带限位开关2个</t>
  </si>
  <si>
    <t>三通分料器</t>
  </si>
  <si>
    <t>集灰斗</t>
  </si>
  <si>
    <t>三</t>
  </si>
  <si>
    <t>合金仓库</t>
  </si>
  <si>
    <t>10t桥式起重机</t>
  </si>
  <si>
    <t>起重量：Q=10t；
跨度：S= 25.5m；
轨面标高：H=10m；
起升高度：H=18m；
工作级别：A6。</t>
  </si>
  <si>
    <t>铁水供应系统</t>
  </si>
  <si>
    <t>150t铁水罐鞍座</t>
  </si>
  <si>
    <t>设在高炉铁水罐车上，可以满足150t铁水罐坐罐</t>
  </si>
  <si>
    <t>废钢系统</t>
  </si>
  <si>
    <t>1.1.1</t>
  </si>
  <si>
    <t>废钢料槽</t>
  </si>
  <si>
    <t>料槽容积：~70m3，钢结构件</t>
  </si>
  <si>
    <t>1.1.2</t>
  </si>
  <si>
    <t>废钢过跨车</t>
  </si>
  <si>
    <t>拆除</t>
  </si>
  <si>
    <t>16t桥式起重机</t>
  </si>
  <si>
    <t>KR机械设备</t>
  </si>
  <si>
    <t>1.2.1</t>
  </si>
  <si>
    <t>脱硫铁水罐车</t>
  </si>
  <si>
    <t>载重量380t，运行速度：3~30m/min，变频调速
电缆拖链形式供电，走行电机功率： ~ 55 kW×2（一用一备），轨道中心距： ~4900mm（暂定）轨道型号： QU120 车轮数量： 12 轮（暂定）车上带防尘挡板
锁紧液压缸： 2.2kW，AC 380V 激光定位+形成开关 离线液压站形式，和扒渣机共用液压站</t>
  </si>
  <si>
    <t>1.2.2</t>
  </si>
  <si>
    <t>脱硫渣罐车</t>
  </si>
  <si>
    <t>载重量： ~ 100t
运行速度： 0~25m/min ，变频调速 力矩式电缆卷筒供电
走行电机功率： ~1×15kW（暂定）
轨道中心距： ~3500mm（暂定）
轨道型号： QU120</t>
  </si>
  <si>
    <t>1.2.3</t>
  </si>
  <si>
    <t>事故牵引装置</t>
  </si>
  <si>
    <t>1.2.4</t>
  </si>
  <si>
    <t>铁水罐</t>
  </si>
  <si>
    <t>公称容量240t</t>
  </si>
  <si>
    <t>1.2.5</t>
  </si>
  <si>
    <t>脱硫渣罐</t>
  </si>
  <si>
    <t>16m³ 耳轴间距4400mm 铸钢材质</t>
  </si>
  <si>
    <t>1.2.6</t>
  </si>
  <si>
    <t>液压扒渣机</t>
  </si>
  <si>
    <t>DDS型式
扒渣机行程： ~6300mm
扒渣臂行进速度： 1～1.2m/s
水平扒渣力： ≥ 1.5t
垂直扒渣力： ≥ 3t
水平摆动力： ≥ 0.5t
活动臂向右转动角度： ~45° 活动臂向左转动角度： ~ 12° 活动臂上下倾动角度： ±8° 升降行程 800mm
升降速度： 150mm/s
摆动速度： 1rpm
液压介质： 脂肪酸酯
控制装置：由液压阀台、操作台、PLC控制柜（采用独立PLC系统，CPU采用S7-1515）、端子箱组成。</t>
  </si>
  <si>
    <t>1.2.7</t>
  </si>
  <si>
    <t>自动扒渣系统</t>
  </si>
  <si>
    <t>自动扒渣系统是一套基于智能传感器、自动扒渣机、智能分析、深度学习与智能控制的大型综合性系统，包括高分辨率摄像器、图像高性能工作站、智能传感器、测距雷达、PLC控制系统、渣面检测及坐标识别软件等，通过图像采集和智能分析，确定渣面分布情况，控制扒渣机动作实现铁水脱硫工序的自动扒渣。PLC集成在自动扒渣系统。</t>
  </si>
  <si>
    <t>数采软件</t>
  </si>
  <si>
    <t>Kepware 6.5及以上</t>
  </si>
  <si>
    <t>视觉硬件</t>
  </si>
  <si>
    <t>CISDigital AI金睛相机</t>
  </si>
  <si>
    <t>型号：IC-SHK800-W0
分辨率：800万
帧率：23fps
风冷外壳：带吹扫装置及云台，含三联过滤件，涡旋制冷管
防护等级：IP65</t>
  </si>
  <si>
    <t>CISDigital AI金睛盒子</t>
  </si>
  <si>
    <t>处理器：ARM 8核
算力：100TOPS
内存：16G
扩展存储空间：2T
电压：DC 10-36V
网口：2个千兆网口
工作温度：-20℃-65℃</t>
  </si>
  <si>
    <t>现场配电箱</t>
  </si>
  <si>
    <t xml:space="preserve">含断路器，电源模块等
400*300*200 1.2mm冷轧钢板                             
1.空气断路器：2P 10A*1 1P 6A*2
2.导轨电源：220V转12V*1、导轨插座*1、接线端子排*1                 </t>
  </si>
  <si>
    <t>配套辅材</t>
  </si>
  <si>
    <t>网线、光纤、电源线、网头、套管等配套辅材</t>
  </si>
  <si>
    <t>批</t>
  </si>
  <si>
    <t>视频存储设备</t>
  </si>
  <si>
    <t>8路输入NVR，配12TB硬盘</t>
  </si>
  <si>
    <t>1.2.8</t>
  </si>
  <si>
    <t>脱硫倾翻车和扒渣机液压站</t>
  </si>
  <si>
    <t>1.2.9</t>
  </si>
  <si>
    <t>吹气赶渣枪装置</t>
  </si>
  <si>
    <t xml:space="preserve">最大升降速度: 6~29 m/min
工作行程 ~5000mm
提升电机5.5kW,VVVF
摆动电液推杆7.5kW
介质压力 0.6-0.8MPa
升降位置控制  绝对值编码器                   摆动位置控制  绝对值编码器                     氮气软管采用拖链布置在导轨一侧               </t>
  </si>
  <si>
    <t>1.2.10</t>
  </si>
  <si>
    <t>机械搅拌系统</t>
  </si>
  <si>
    <t>1.2.11.1</t>
  </si>
  <si>
    <t>搅拌头升降旋转装置</t>
  </si>
  <si>
    <t>1）</t>
  </si>
  <si>
    <t>搅拌头提升装置</t>
  </si>
  <si>
    <t>升降驱动 电机驱动钢丝绳卷扬                升降电机 75kW，VVVF
升降位置控制 绝对值编码器（安装在低速轴）
升降速度反馈 增量型编码器（安装在电机尾部） 升降行程极限保护 限位开关
升降制动器 电液制动器（事故时EPS驱动）      升降速度 3～7m/min，
定位精度 ±20mm
事故提升速度 ~0.9m/min
升降行程 ~8m（最大）</t>
  </si>
  <si>
    <t>2）</t>
  </si>
  <si>
    <t>搅拌头旋转装置</t>
  </si>
  <si>
    <t>旋转驱动 电机+行星减速机驱动
旋转电机 400kW VVVF
行星减速机 带润滑泵 
设计转速
新桨：110r/min
旧桨 Max：120r/min</t>
  </si>
  <si>
    <t>3）</t>
  </si>
  <si>
    <t>搅拌头事故提升装置</t>
  </si>
  <si>
    <t>事故电机，含在1）提升装置里</t>
  </si>
  <si>
    <t>4）</t>
  </si>
  <si>
    <t>旋转减速器稀油润滑</t>
  </si>
  <si>
    <t>搅拌减速器润滑管路带油流监测装置，带远传</t>
  </si>
  <si>
    <t>5）</t>
  </si>
  <si>
    <t>干油润滑</t>
  </si>
  <si>
    <t>自动润滑泵仅润滑轴承，其余点手动润滑，润滑站配置流量、压力检测并带远传</t>
  </si>
  <si>
    <t>1.2.11.2</t>
  </si>
  <si>
    <t>搅拌头</t>
  </si>
  <si>
    <t>搅拌头外径： Ф1350mm（暂定）
搅拌头外形: 十字形
搅拌头总长度： ~3700mm</t>
  </si>
  <si>
    <t>1.2.11.3</t>
  </si>
  <si>
    <t>搅拌头吊具</t>
  </si>
  <si>
    <t>功能：为 L 型结构，主要用来吊运搅拌头。</t>
  </si>
  <si>
    <t>1.2.11.4</t>
  </si>
  <si>
    <t>搅拌头更换车</t>
  </si>
  <si>
    <t>走行速度： 0~8m/min                       
走行电机：2.2kW,VVVF
旋转调整电机： 0.4 kW AC380
旋转速度： 15mm/s
千斤顶： 液压泵 3.7 kW AC380
提升速度： 5mm/s</t>
  </si>
  <si>
    <t>1.2.11.5</t>
  </si>
  <si>
    <t>翻板轨道</t>
  </si>
  <si>
    <t>1.2.11.6</t>
  </si>
  <si>
    <t>搅拌头刮渣装置</t>
  </si>
  <si>
    <t>型式： 耙板式
旋转气缸：SGC125x285；倾动气缸SGC160x200； 气控柜带三联件及开闭电磁阀；                限位开关控制旋转及摆动</t>
  </si>
  <si>
    <t>1.2.12</t>
  </si>
  <si>
    <t>脱硫剂上料系统</t>
  </si>
  <si>
    <t>1.2.12.1</t>
  </si>
  <si>
    <t>粉剂槽车</t>
  </si>
  <si>
    <t>1.2.12.2</t>
  </si>
  <si>
    <t>气力输灰陶瓷金属耐磨弯管</t>
  </si>
  <si>
    <t>角度： 90°
耐磨金属外管为 20#无缝钢管，钢管壁厚 6mm，内贴陶瓷材料，陶瓷厚度
15mm。结构陶瓷材料主要成分：致密三氧化锆耐磨陶瓷</t>
  </si>
  <si>
    <t>1.2.12.3</t>
  </si>
  <si>
    <t>助吹弯管</t>
  </si>
  <si>
    <t>粉剂通道要求同气力输灰陶瓷金属耐磨弯管</t>
  </si>
  <si>
    <t>1.2.12.4</t>
  </si>
  <si>
    <t>仓顶除尘器</t>
  </si>
  <si>
    <t>材料： 碳钢 Q235-B
过滤风速 0.7m/min
处理风量： 1200m3/h
过滤面积： ~24m2</t>
  </si>
  <si>
    <t>1.2.12.5</t>
  </si>
  <si>
    <t>脱硫剂料仓</t>
  </si>
  <si>
    <t>有效容积容量： ~80m3，材料Q235B，带称重</t>
  </si>
  <si>
    <t>1.2.12.6</t>
  </si>
  <si>
    <t>料仓底部流化装置</t>
  </si>
  <si>
    <t>入料口DN1100，出料口DN300, PN10，流化件材料：不锈钢金属烧结网，外壳材料：Q235B</t>
  </si>
  <si>
    <t>1.2.12.7</t>
  </si>
  <si>
    <t>仓壁振动器</t>
  </si>
  <si>
    <t>1.2.12.8</t>
  </si>
  <si>
    <t>料仓下手动插板阀</t>
  </si>
  <si>
    <t>DN300</t>
  </si>
  <si>
    <t>1.2.12.9</t>
  </si>
  <si>
    <t>旋转给料器</t>
  </si>
  <si>
    <t>DN300，最大给料能力: ~1000kg/min</t>
  </si>
  <si>
    <t>1.2.12.10</t>
  </si>
  <si>
    <t>橡胶柔性软接头</t>
  </si>
  <si>
    <t>1.2.12.11</t>
  </si>
  <si>
    <t>称量罐</t>
  </si>
  <si>
    <t>有效容积： ~3.0m3
称重精度： ±0.5%
称量范围： 0~3t
材料：Q345R，设计压力：0.6MPa</t>
  </si>
  <si>
    <t>1.2.12.12</t>
  </si>
  <si>
    <t>称量罐底部流化装置</t>
  </si>
  <si>
    <t>1.2.12.13</t>
  </si>
  <si>
    <t>气动半球阀</t>
  </si>
  <si>
    <t>1.2.12.14</t>
  </si>
  <si>
    <t>加料伸缩溜管</t>
  </si>
  <si>
    <t>电机卷扬提升，速度max.10m/min；            主提升电机1.5kW,VVVF；                    编码器控制行程</t>
  </si>
  <si>
    <t>1.2.12.15</t>
  </si>
  <si>
    <t>阀门及管线（包括粉剂上料、加料及输送系统的管道及阀门）</t>
  </si>
  <si>
    <t>1.2.13</t>
  </si>
  <si>
    <t>脱硅剂上料系统</t>
  </si>
  <si>
    <t>1.2.13.1</t>
  </si>
  <si>
    <t>脱硅剂料仓</t>
  </si>
  <si>
    <t>有效容积容量： ~30m3，材料Q235B</t>
  </si>
  <si>
    <t>1.2.13.2</t>
  </si>
  <si>
    <t>仓底流化装置</t>
  </si>
  <si>
    <t>1.2.13.3</t>
  </si>
  <si>
    <t>1.2.13.4</t>
  </si>
  <si>
    <t>1.2.13.5</t>
  </si>
  <si>
    <t>料仓下振动给料机</t>
  </si>
  <si>
    <t>处理能力：180t/h 变频调速
最大给料粒度：20mm，粉状或片状及粒状
槽体结构形式：封闭式
振动形式：电机式
槽体及其它物料冲击部位应设耐磨衬板。材质ZGMn13-1，厚度为20mm。</t>
  </si>
  <si>
    <t>1.2.13.6</t>
  </si>
  <si>
    <t>称量斗</t>
  </si>
  <si>
    <t>称量斗几何 ~2m³ 称量范围 0-5t
称量精度 ＜0.5%</t>
  </si>
  <si>
    <t>1.2.13.7</t>
  </si>
  <si>
    <t>称量斗下振动给料机</t>
  </si>
  <si>
    <t>处理能力：180t/h
最大给料粒度：粉状或片状及粒状
槽体结构形式：封闭式
振动形式：电机式
槽体及其它物料冲击部位应设耐磨衬板。材质ZGMn13-1，厚度为20mm。</t>
  </si>
  <si>
    <t>1.2.13.8</t>
  </si>
  <si>
    <t>1.2.14</t>
  </si>
  <si>
    <t>自动测温取样装置</t>
  </si>
  <si>
    <t>电机链条带动小车及测温枪升降；               速度max.29.9m/min,主提升电机2.2kW,VVVF；   编码器控制行程.人工安装不同探头。</t>
  </si>
  <si>
    <t>1.2.15</t>
  </si>
  <si>
    <t>铁水罐车防尘门</t>
  </si>
  <si>
    <t>电动平移式； 走行电机：4x0.75kW;             运行速度： 13.7 m/min;                     开关定位；</t>
  </si>
  <si>
    <t>1.2.16</t>
  </si>
  <si>
    <t>渣罐车防尘门</t>
  </si>
  <si>
    <t>1.2.17</t>
  </si>
  <si>
    <t>力矩扳手</t>
  </si>
  <si>
    <t>工作扭矩： 490Nm，含在搅拌头快换装置里面</t>
  </si>
  <si>
    <t>1.2.18</t>
  </si>
  <si>
    <t>液压千斤顶</t>
  </si>
  <si>
    <t>单动式千斤顶能力： ≥10 吨，含在搅拌头快换装置里面</t>
  </si>
  <si>
    <t>1.2.19</t>
  </si>
  <si>
    <t>2t电葫芦</t>
  </si>
  <si>
    <t>10t电葫芦</t>
  </si>
  <si>
    <t>转炉系统</t>
  </si>
  <si>
    <t>1.3.1</t>
  </si>
  <si>
    <t>转炉本体</t>
  </si>
  <si>
    <t>公称容量240t，平均出钢量240t，最大出钢量250t</t>
  </si>
  <si>
    <t>座</t>
  </si>
  <si>
    <t>各分项如下：</t>
  </si>
  <si>
    <t>炉体</t>
  </si>
  <si>
    <t>炉壳直径8260，炉壳高10850（不包括底座）。1）6瓣耐热球墨铸铁水冷炉口。2）炉体材质Q345R，钢板厚度炉身80mm其余75mm；3）裙板Q355B,厚度20mm.</t>
  </si>
  <si>
    <t>托圈</t>
  </si>
  <si>
    <t>托圈内径8660，宽度800，高2500.             耳轴中心距约6000；                         钢板Q345R，耳轴20MnMoNb。</t>
  </si>
  <si>
    <t>转炉吊挂系统</t>
  </si>
  <si>
    <t>4吊挂4托圈挡座</t>
  </si>
  <si>
    <t>耳轴轴承座及支撑机构</t>
  </si>
  <si>
    <t>耳轴调心滚子轴承1250x1630x375，采用进口FAG、SKF，整体轴承，设计结构允许后期更换剖分</t>
  </si>
  <si>
    <t>耳轴轴承干油润滑系统</t>
  </si>
  <si>
    <t>2套智能干油润滑泵，单套润滑泵0.75kW润滑点,带电控箱</t>
  </si>
  <si>
    <t>倾动</t>
  </si>
  <si>
    <t>四点全悬挂+扭力杆式；                      变频电机4x250kW（绝缘等级H级），VVVF；     倾动速度0.1~1.2r/min；</t>
  </si>
  <si>
    <t>倾动装置稀油润滑站</t>
  </si>
  <si>
    <t>润滑泵流量   200L/min；                   润滑泵：    2x7.5kW，1用1备；              电加热器：  4x4=16kW</t>
  </si>
  <si>
    <t>炉体气水液配管</t>
  </si>
  <si>
    <t>液压及气配管为不锈钢；水为碳钢管；</t>
  </si>
  <si>
    <t>非传动侧旋转接头</t>
  </si>
  <si>
    <t>进水、气及液压接头</t>
  </si>
  <si>
    <t>传动侧旋转接头</t>
  </si>
  <si>
    <t>回水接头</t>
  </si>
  <si>
    <t>基础埋件及地脚螺栓</t>
  </si>
  <si>
    <t>1.3.2</t>
  </si>
  <si>
    <t>氧枪系统</t>
  </si>
  <si>
    <t>1.3.2.1</t>
  </si>
  <si>
    <t>氧枪升降横移装置</t>
  </si>
  <si>
    <t xml:space="preserve">氧枪传动设备采用“双车双枪”型式，转炉配备两支氧枪，一支吹炼，一支备用，
每支氧枪都有各自独立的升降小车及提升系统，具备一键倒枪功能.包含横移台车 2 台
升降小车 2 台，锁紧装置 1 套，固定轨道 1 套，氧枪快换装置 2 套.氧枪升降行程 ～17.9m
</t>
  </si>
  <si>
    <t>升降电机</t>
  </si>
  <si>
    <t>200kW,VVVF</t>
  </si>
  <si>
    <t>升降事故电机</t>
  </si>
  <si>
    <t>事故电机22kW,UPS</t>
  </si>
  <si>
    <t>横移电机</t>
  </si>
  <si>
    <t>3kW,VVVF.</t>
  </si>
  <si>
    <t>1.3.2.2</t>
  </si>
  <si>
    <t>氧枪</t>
  </si>
  <si>
    <t>锥枪，枪管直径
外层管 ~Ф402×12mm 材质：20G（无缝钢管）
中层管 ~Ф340×8mm 材质：20G（无缝钢管）
内层管 ~Ф273×8mm 材质：不锈钢（无缝钢管）
氧枪长度 ~24m</t>
  </si>
  <si>
    <t>根</t>
  </si>
  <si>
    <t>1.3.2.3</t>
  </si>
  <si>
    <t>氧枪气水金属软管</t>
  </si>
  <si>
    <t>一套包含氧气软管3根，水软管6根；                           氧气软管外径DN250，氧气软管长度 ～21000mm
冷却水软管外径 DN200，冷却水软管长度 ～21000mm</t>
  </si>
  <si>
    <t>1.3.2.4</t>
  </si>
  <si>
    <t>氧枪孔氮封装置</t>
  </si>
  <si>
    <t>增加5个氮封帽，与氧枪数量一致</t>
  </si>
  <si>
    <t>1.3.2.5</t>
  </si>
  <si>
    <t>氧枪刮渣器</t>
  </si>
  <si>
    <t>气动刮渣，平行四边形平推。气缸型号：SGC-250X600-S-TCH-FH(AIRTAC)，带开关，数量2，带气控柜</t>
  </si>
  <si>
    <t>1.3.2.6</t>
  </si>
  <si>
    <t>氧枪存放台架</t>
  </si>
  <si>
    <t>钢结构焊接架</t>
  </si>
  <si>
    <t>1.3.2.7</t>
  </si>
  <si>
    <t>金属软管存放台架</t>
  </si>
  <si>
    <t>1.3.3</t>
  </si>
  <si>
    <t>副枪装置</t>
  </si>
  <si>
    <t xml:space="preserve">含机电、设备、副枪模型；                       1）副枪旋转：最大旋转速度~1.5r/min，减速电机驱动，功率5.5kW(矢量变频)。
2）副枪升降：最大升降转速度~150m/min，电机驱动，功率75kW(矢量变频)。EPS事故电源驱动75kW电机事故提升，提升速度~20m/min。
3）润滑泵：功率0.37kW。                    4）探头释放装置：气缸驱动，缸径Φ80mm。
5）探头推出装置：最大推出速度~40m/min，减速电机驱动，功率0.37kW(VVVF)。
6）导向夹头和夹头：气缸驱动，缸径Φ80mm。
7）机械手：最大旋转速度~3.5r/min，减速电机驱动，功率3kW(矢量变频)。
8）电加热器：功率2×1kW。
9）卸探头装置：气缸驱动，缸径Φ100mm。      10）摆臂式刮渣器：气缸驱动，缸径Φ80mm。   11）翻板式氮封阀：气缸驱动，缸径Φ80mm。   12）探头收集溜槽、副枪存放架、副枪吊运臂均为 钢结构。
</t>
  </si>
  <si>
    <t>副枪</t>
  </si>
  <si>
    <t>1）副枪枪体可旋转。
2）外径Φ114mm，长度~24m。</t>
  </si>
  <si>
    <t>1.3.4</t>
  </si>
  <si>
    <t>炉前挡火门</t>
  </si>
  <si>
    <t>电动，双扇对开式，电机链条驱动；         2x5.5kW,VVVF;                            走行速度~10m/min，固定观察窗</t>
  </si>
  <si>
    <t>1.3.5</t>
  </si>
  <si>
    <t>炉后挡火门</t>
  </si>
  <si>
    <t>电动，单扇吊挂式；电机链条闭环驱动，3kW</t>
  </si>
  <si>
    <t>1.3.6</t>
  </si>
  <si>
    <t>活动烟罩升降装置及台车</t>
  </si>
  <si>
    <t>活动烟罩升降装置</t>
  </si>
  <si>
    <t>型 式： 单液压缸驱动同步轴4点同步升降式
提升行程： ~750mm
炉口下行程： 100mm
液压缸型号： UYZB11Ф180X750-21</t>
  </si>
  <si>
    <t>活动烟罩升降液压系统</t>
  </si>
  <si>
    <t>烟罩横移台车</t>
  </si>
  <si>
    <t>横移速度： 2m/min
横移距离： ~9000mm
轨道型号： QU100                                                                   电机功率  :2x4kW</t>
  </si>
  <si>
    <t>1.3.7</t>
  </si>
  <si>
    <t>修炉台车</t>
  </si>
  <si>
    <t>砌炉专用机电一体品设备
移动速度： ~1.1m/min
移动行程： ~9200mm</t>
  </si>
  <si>
    <t>1.3.8</t>
  </si>
  <si>
    <t>修炉塔</t>
  </si>
  <si>
    <t>四轮无动力台车</t>
  </si>
  <si>
    <t>1.3.9</t>
  </si>
  <si>
    <t>副原料加料系统</t>
  </si>
  <si>
    <t>1.3.9.1</t>
  </si>
  <si>
    <t>高位料仓振动给料机</t>
  </si>
  <si>
    <t>电动、封闭式，VVVF，3台Q=300t/，9台Q=150t/h</t>
  </si>
  <si>
    <t>1.3.9.2</t>
  </si>
  <si>
    <t>有效容积　9m³，仓壁采用Q355B，厚度12mm，内衬Q355B耐磨衬板，厚度10mm</t>
  </si>
  <si>
    <t>1.3.9.3</t>
  </si>
  <si>
    <t>有效容积　5m³，仓壁采用Q355B，厚度12mm，内衬Q355B耐磨衬板，厚度10mm</t>
  </si>
  <si>
    <t>1.3.9.4</t>
  </si>
  <si>
    <t>有效容积　3m³，仓壁采用Q355B，厚度12mm，内衬Q355B耐磨衬板，厚度10mm</t>
  </si>
  <si>
    <t>1.3.9.5</t>
  </si>
  <si>
    <t>称量斗下扇形阀</t>
  </si>
  <si>
    <t>由阀体、气缸、行程开关、密封件、紧固件组成，采用气缸驱动，行程开关用于检测扇形阀的开闭状态。</t>
  </si>
  <si>
    <t>1.3.9.6</t>
  </si>
  <si>
    <r>
      <rPr>
        <sz val="10"/>
        <rFont val="宋体"/>
        <charset val="134"/>
      </rPr>
      <t>电动、封闭式，</t>
    </r>
    <r>
      <rPr>
        <sz val="10"/>
        <rFont val="宋体"/>
        <charset val="134"/>
      </rPr>
      <t>Q=300t/h</t>
    </r>
  </si>
  <si>
    <t>1.3.9.7</t>
  </si>
  <si>
    <t>汇总斗</t>
  </si>
  <si>
    <t>几何容积~　11m³，仓壁采用Q355B，厚度12mm，内衬Q355B耐磨衬板，厚度10mm</t>
  </si>
  <si>
    <t>1.3.9.8</t>
  </si>
  <si>
    <t>汇总料斗扇形阀</t>
  </si>
  <si>
    <t>1.3.9.9</t>
  </si>
  <si>
    <t>下料溜管</t>
  </si>
  <si>
    <t>溜管材质Q355B,物料冲击处及拐角处采用耐磨衬板</t>
  </si>
  <si>
    <t>1.3.9.10</t>
  </si>
  <si>
    <t>气体密封阀</t>
  </si>
  <si>
    <t>1.3.9.11</t>
  </si>
  <si>
    <t>旋转溜槽</t>
  </si>
  <si>
    <t>为自支承焊接钢结构件，由溜管、回转支承、回转驱动装置组成。</t>
  </si>
  <si>
    <t>1.3.10</t>
  </si>
  <si>
    <t>铁合金加料系统</t>
  </si>
  <si>
    <t>1.3.10.1</t>
  </si>
  <si>
    <t>中位料仓振动给料机</t>
  </si>
  <si>
    <t>电动、封闭式，变频调速VVVF，Q=100t/h</t>
  </si>
  <si>
    <t>1.3.10.2</t>
  </si>
  <si>
    <t>有效容积　4m³，仓壁采用Q355B，厚度12mm，内衬Q355B耐磨衬板，厚度10mm</t>
  </si>
  <si>
    <t>1.3.10.3</t>
  </si>
  <si>
    <t>有效容积　6m³，仓壁采用Q355B，厚度12mm，内衬Q355B耐磨衬板，厚度10mm</t>
  </si>
  <si>
    <t>1.3.10.4</t>
  </si>
  <si>
    <t>电液动、封闭式</t>
  </si>
  <si>
    <t>1.3.10.5</t>
  </si>
  <si>
    <t>可逆皮带</t>
  </si>
  <si>
    <t>B=650mm Q=200t/h V=1.6m/s L=22m</t>
  </si>
  <si>
    <t>1.3.10.6</t>
  </si>
  <si>
    <t>1.3.10.7</t>
  </si>
  <si>
    <t>　　电液动、封闭式</t>
  </si>
  <si>
    <t>1.3.10.8</t>
  </si>
  <si>
    <t>旋转溜管</t>
  </si>
  <si>
    <t>电动，旋转角度40°</t>
  </si>
  <si>
    <t>1.3.10.9</t>
  </si>
  <si>
    <t>事故料斗</t>
  </si>
  <si>
    <t>1.3.11</t>
  </si>
  <si>
    <t>转炉钢水罐车</t>
  </si>
  <si>
    <r>
      <rPr>
        <sz val="10"/>
        <rFont val="宋体"/>
        <charset val="134"/>
      </rPr>
      <t xml:space="preserve">载重量450t </t>
    </r>
    <r>
      <rPr>
        <sz val="10"/>
        <rFont val="宋体"/>
        <charset val="134"/>
      </rPr>
      <t xml:space="preserve">
运行速度 0～30m/min（VVVF 调速）
轨道中心距 ~5100mm（暂定）
车轮数量 12 个
减速机 卧式减速机
运输距离 ~85m
选用轨道 QU120（铁轨压板：采用机加工钢板焊接固定形式）
车轮材质 锻造 CL60 材质
减速机 钢结构机壳、硬齿面齿轮
供电方式 力矩电缆卷筒供电
停位精度 ±10-30mm</t>
    </r>
  </si>
  <si>
    <t>1.3.12</t>
  </si>
  <si>
    <t>16m3渣罐（钢包车、过跨车）</t>
  </si>
  <si>
    <t>16m³ 耳轴间距 4400/5500mm 罐体铸钢材质，耳轴为锻造件</t>
  </si>
  <si>
    <t>1.3.13</t>
  </si>
  <si>
    <t>16m3渣罐（渣车）</t>
  </si>
  <si>
    <t>16m3 .耳轴间距4400mm 铸钢材质，耳轴为锻造件</t>
  </si>
  <si>
    <t>1.3.14</t>
  </si>
  <si>
    <t>转炉渣罐车</t>
  </si>
  <si>
    <t>公称载重量 ～125t
运行速度 0～40m/min
运行距离 ～72m
轨道中心距 ～5100mm（暂定）
车轮数量 8 个
选用轨道 QU120（铁轨压板：采用机加工钢板焊接固定形式）
减速机 钢结构机壳、硬齿面齿轮
供电方式 力矩电缆卷筒供电
停位精度 ±10-30mm
制动方式： 制动，带抱闸</t>
  </si>
  <si>
    <t>1.3.15</t>
  </si>
  <si>
    <t>过跨车</t>
  </si>
  <si>
    <t>设备组成及技术参数同炉下钢包车</t>
  </si>
  <si>
    <t>1.3.16</t>
  </si>
  <si>
    <t>滑板挡渣系统</t>
  </si>
  <si>
    <t>滑板挡渣机构</t>
  </si>
  <si>
    <t>在线液压站</t>
  </si>
  <si>
    <t>油箱：不锈钢
工作介质：脂肪酸酯。
主泵：恒压变量柱塞泵，需设置备用泵；
循环泵：螺杆泵，1台
蓄能器：1组，皮囊式</t>
  </si>
  <si>
    <t>3t悬臂吊</t>
  </si>
  <si>
    <t>离线液压站</t>
  </si>
  <si>
    <t>离线维修用</t>
  </si>
  <si>
    <t>机构运输存放调试架</t>
  </si>
  <si>
    <t>机构更换架</t>
  </si>
  <si>
    <t>1.3.17</t>
  </si>
  <si>
    <t>下渣检测装置</t>
  </si>
  <si>
    <t>帧频 ≥20Hz
摄像机分辨率 640×480 像素
温度测量范围 600~2000℃
工作环境温度 ≤150℃</t>
  </si>
  <si>
    <t>1.3.18</t>
  </si>
  <si>
    <t>炉后挡渣小车</t>
  </si>
  <si>
    <t>行走驱动                交流电机，变频控制
旋转平台旋转角度        左或右90°（max93°）
旋转驱动                电机
挡渣塞夹持装置          弹簧夹紧，液压松开
悬臂杆冷却介质          压缩空气
悬臂杆倾动驱动          液压缸
定位精度                ±10mm
挡渣塞调节的范围        3</t>
  </si>
  <si>
    <t>1.3.19</t>
  </si>
  <si>
    <t>钢水罐</t>
  </si>
  <si>
    <t>1.3.20</t>
  </si>
  <si>
    <t>钢水罐滑动水口机构</t>
  </si>
  <si>
    <t>不含耐材和液压缸，每个钢包1套滑动水口</t>
  </si>
  <si>
    <t>1.3.21</t>
  </si>
  <si>
    <t>自动快速接头</t>
  </si>
  <si>
    <t>平板式，管道通径：~DN25，满足18个钢水罐、3台钢水罐车的使用要求</t>
  </si>
  <si>
    <t>1.3.22</t>
  </si>
  <si>
    <t>钢水罐热修设备</t>
  </si>
  <si>
    <t>过跨式热修卧式钢包车</t>
  </si>
  <si>
    <t>净载重量：160t 运行速度： 4~40m/min（VVVF 调速）
定位精度： ±10-30mm
轨道中心距： ~5100mm（暂定）
运输距离： 60m，半行程 40m
选用轨道: QU120
车轮数量： 4 个</t>
  </si>
  <si>
    <t>热修用，起升重量： 3t
旋转半径： ~4.5m</t>
  </si>
  <si>
    <t>热修除尘罩车</t>
  </si>
  <si>
    <t>双驱，2x2.2kW;</t>
  </si>
  <si>
    <t>钢水罐热修支座</t>
  </si>
  <si>
    <t>钢结构件</t>
  </si>
  <si>
    <t>钢水罐热修液压单元</t>
  </si>
  <si>
    <t>为机电一体产品，由液压泵、阀和机座组成，不设蓄能器。</t>
  </si>
  <si>
    <t>1.3.23</t>
  </si>
  <si>
    <t>转炉喷补车</t>
  </si>
  <si>
    <t>履带式，喷补能力： 60～100kg/min</t>
  </si>
  <si>
    <t>1.3.24</t>
  </si>
  <si>
    <t>转炉激光测厚仪</t>
  </si>
  <si>
    <t>移动式</t>
  </si>
  <si>
    <t>1.3.25</t>
  </si>
  <si>
    <t>5t工业电梯</t>
  </si>
  <si>
    <t>额定载荷： 5t
额定速度： ~0.5m/s
顶层高度： ~+60m
停位点数： ~7 点</t>
  </si>
  <si>
    <t>1.3.26</t>
  </si>
  <si>
    <t>1.6t电梯</t>
  </si>
  <si>
    <t>客梯，中控楼用</t>
  </si>
  <si>
    <t>1.3.27</t>
  </si>
  <si>
    <t>2t电子台秤</t>
  </si>
  <si>
    <t>转炉1套，LF精炼炉2套，RH2套</t>
  </si>
  <si>
    <t>1.3.28</t>
  </si>
  <si>
    <t>钢水罐冷修设备</t>
  </si>
  <si>
    <t>钢水罐拆罐支座</t>
  </si>
  <si>
    <t>拆包除尘小车</t>
  </si>
  <si>
    <t>钢水罐烘烤器</t>
  </si>
  <si>
    <t>全氧烘烤器，钢水罐公称容量          240t
烘烤介质                转炉煤气+氧气
长明火                  煤层气
干燥烘烤器目标温度      室温~600℃
加热速度                20～80℃/min
周转烘烤器目标温度      800~1000℃
加热速度                20～50℃/min</t>
  </si>
  <si>
    <t>铁水罐烘烤器</t>
  </si>
  <si>
    <t>全氧烘烤器，铁水罐公称容量          240t
保温盖直径              待定
烘烤介质                转炉煤气+氧气
长明火                  煤层气
干燥烘烤器目标温度      室温~600℃
加热速度                20～80℃/min
周转烘烤器目标温度      800~1000℃
加热速度                20～50℃/min</t>
  </si>
  <si>
    <t>5t龙门吊</t>
  </si>
  <si>
    <t>机电一体品</t>
  </si>
  <si>
    <t>冷修过跨车</t>
  </si>
  <si>
    <t>载重160t，运行速度： 3～30m/min(VVVF 调速)
停位精度 ±50mm
轨道中心距： ～5100mm（暂定）
运输距离： 15+15m（暂定）
减速机 卧式减速机
选用轨道： QU120
供电方式： 力矩电机式或磁滞式电缆卷筒供电</t>
  </si>
  <si>
    <t>1.3.29</t>
  </si>
  <si>
    <t>拆炉机</t>
  </si>
  <si>
    <t>1.3.30</t>
  </si>
  <si>
    <t>3t叉车</t>
  </si>
  <si>
    <t>1.3.31</t>
  </si>
  <si>
    <t>5t叉车</t>
  </si>
  <si>
    <t>1.3.32</t>
  </si>
  <si>
    <t>打结胎膜</t>
  </si>
  <si>
    <t>1.3.33</t>
  </si>
  <si>
    <t>吊车试吊砝码台架</t>
  </si>
  <si>
    <t>1.3.34</t>
  </si>
  <si>
    <t>砌砖机</t>
  </si>
  <si>
    <t>1.3.35</t>
  </si>
  <si>
    <t>泥料混合机</t>
  </si>
  <si>
    <t>1.3.36</t>
  </si>
  <si>
    <t>3t防爆悬挂单梁吊</t>
  </si>
  <si>
    <t>跨度(Lk )：~7m；
轨面标高：~52.0m
工作级别：A5级；
起升高度：~43m； 
起升速度：~8m/min；
大车运行速度：~20m/min；</t>
  </si>
  <si>
    <t>吹氩喂丝站</t>
  </si>
  <si>
    <t>1.4.1</t>
  </si>
  <si>
    <t>自动测温、定氧、取样装置</t>
  </si>
  <si>
    <t xml:space="preserve">电机链条带动小车及测温枪升降，测温与取样共用, 速度max.29.9m/min,主提升电机2.2kW,VVVF；   编码器控制行程.人工安装不同探头。           </t>
  </si>
  <si>
    <t>1.4.2</t>
  </si>
  <si>
    <t>钢水罐底吹氩气气控装置</t>
  </si>
  <si>
    <t>一体式，底吹流量0～60 Nm3/h</t>
  </si>
  <si>
    <t>1.4.3</t>
  </si>
  <si>
    <t>喂丝机（预留）</t>
  </si>
  <si>
    <t>双线</t>
  </si>
  <si>
    <t>滑动水口加砂装置</t>
  </si>
  <si>
    <t>升降行程 ～9.0m</t>
  </si>
  <si>
    <t>LF炉</t>
  </si>
  <si>
    <t>导电横臂</t>
  </si>
  <si>
    <t>电极直径550mm</t>
  </si>
  <si>
    <t>铜钢复合导电横臂</t>
  </si>
  <si>
    <t>电极夹放装置</t>
  </si>
  <si>
    <t>夹放油缸</t>
  </si>
  <si>
    <t>⌀220×60</t>
  </si>
  <si>
    <t>绝缘材料</t>
  </si>
  <si>
    <t>环氧层压玻璃布板</t>
  </si>
  <si>
    <t>紧固件</t>
  </si>
  <si>
    <t>电极升降装置</t>
  </si>
  <si>
    <t>升降行程~4600mm</t>
  </si>
  <si>
    <t>电极升降立柱</t>
  </si>
  <si>
    <t>导向滚轮组</t>
  </si>
  <si>
    <t>电极升降立柱液压缸（带外置位移传感器））</t>
  </si>
  <si>
    <t>⌀299×⌀180×4800</t>
  </si>
  <si>
    <t>高位手动锁定装置、联接件和绝缘</t>
  </si>
  <si>
    <t>行程开关</t>
  </si>
  <si>
    <t>电极旋转机构及定位装置</t>
  </si>
  <si>
    <t>旋转架</t>
  </si>
  <si>
    <t>旋转油缸</t>
  </si>
  <si>
    <t>UYZB11φ250×2300×1910-12.5W</t>
  </si>
  <si>
    <t>锁紧油缸</t>
  </si>
  <si>
    <t>UYTF11φ160×300-12.5W</t>
  </si>
  <si>
    <t>旋转编码器</t>
  </si>
  <si>
    <t>二次短网</t>
  </si>
  <si>
    <t>导电铜管</t>
  </si>
  <si>
    <t>水冷电缆</t>
  </si>
  <si>
    <t>6800mm2×10000</t>
  </si>
  <si>
    <t>水冷补偿器</t>
  </si>
  <si>
    <t>3400mm2×930</t>
  </si>
  <si>
    <t>安装支架</t>
  </si>
  <si>
    <t>06Cr19Ni10</t>
  </si>
  <si>
    <t>绝缘件</t>
  </si>
  <si>
    <t>连接件及标准件</t>
  </si>
  <si>
    <t>水冷炉盖及排烟集尘装置</t>
  </si>
  <si>
    <t>炉盖本体（包括烟道、裙边）</t>
  </si>
  <si>
    <t>各种工艺孔及相应的密封盖</t>
  </si>
  <si>
    <t>机上气动配管</t>
  </si>
  <si>
    <t>炉盖提升机构</t>
  </si>
  <si>
    <t>提升机构</t>
  </si>
  <si>
    <t>炉盖提升液压缸</t>
  </si>
  <si>
    <t>⌀200×1000</t>
  </si>
  <si>
    <t>水冷系统（带事故水切换）</t>
  </si>
  <si>
    <t>进水分配器</t>
  </si>
  <si>
    <t>回水分配器</t>
  </si>
  <si>
    <t>进水总管电动切断阀</t>
  </si>
  <si>
    <t>手阀、蝶阀</t>
  </si>
  <si>
    <t>液压系统</t>
  </si>
  <si>
    <t>液压介质：阻燃水-乙二醇</t>
  </si>
  <si>
    <t>恒压变量柱塞泵</t>
  </si>
  <si>
    <t>电极升降进口电液比例阀</t>
  </si>
  <si>
    <t>炉盖升降进口三位四通电液阀并</t>
  </si>
  <si>
    <t>循环过滤冷却装置</t>
  </si>
  <si>
    <t>蓄能器组</t>
  </si>
  <si>
    <t>皮囊式</t>
  </si>
  <si>
    <t>油箱</t>
  </si>
  <si>
    <t>不锈钢，3.5m3</t>
  </si>
  <si>
    <t>站内配管</t>
  </si>
  <si>
    <t>充氮小车</t>
  </si>
  <si>
    <t>滤油小车（带 2 套滤芯）</t>
  </si>
  <si>
    <t>液压加油小车</t>
  </si>
  <si>
    <t>压缩空气系统</t>
  </si>
  <si>
    <t>气控柜</t>
  </si>
  <si>
    <t>气动三联件、电磁阀</t>
  </si>
  <si>
    <t>自动吹氩装置</t>
  </si>
  <si>
    <t>稳压装置（含减压阀、过滤器）</t>
  </si>
  <si>
    <t>压力调节及变送装置</t>
  </si>
  <si>
    <t>流量调节装置（含：压力变送器、一体式质量流量控制器）</t>
  </si>
  <si>
    <t>高压旁吹系统</t>
  </si>
  <si>
    <t>柜体</t>
  </si>
  <si>
    <t>高温摄像头</t>
  </si>
  <si>
    <t>工业高清摄像头+保护筒</t>
  </si>
  <si>
    <t>服务器</t>
  </si>
  <si>
    <t>CPU:主频3.6GHz以上 内存32GB； 硬盘512GB SSD*2 RAID1 + 2TB HDD； RTX 5070 8G显存； 2口千兆独立以太网卡； 带鼠标和键盘； 带24"液晶显示器； Windows10 专业版标</t>
  </si>
  <si>
    <t>客户机</t>
  </si>
  <si>
    <t>i7 14代3.2GHz CPU 16GB RAM 512G固态硬盘+1TB机械硬盘 DVD-ROM光驱 24"液晶显示器 以太网卡，双网卡 Windows 10操作系统</t>
  </si>
  <si>
    <t>网络附件</t>
  </si>
  <si>
    <t>10/100/1000Mbps 交换机等</t>
  </si>
  <si>
    <t>底吹氩控制软件</t>
  </si>
  <si>
    <t>含氩花识别及吹氩控制</t>
  </si>
  <si>
    <t>电动集中润滑装置</t>
  </si>
  <si>
    <t>电动集中润滑泵</t>
  </si>
  <si>
    <t>电动加油泵（设高低限位）</t>
  </si>
  <si>
    <t>现场操作箱、分配器</t>
  </si>
  <si>
    <t>电极存放及接长站置</t>
  </si>
  <si>
    <t>电极自动接长装置</t>
  </si>
  <si>
    <t>电极存放装置</t>
  </si>
  <si>
    <t>钢包车及卷筒装置</t>
  </si>
  <si>
    <t>承载能力~450t</t>
  </si>
  <si>
    <t>车体及驱动装置</t>
  </si>
  <si>
    <t>12个轮/车</t>
  </si>
  <si>
    <t>电缆、氩气卷筒及轨道清理装置</t>
  </si>
  <si>
    <t>限位开关装置</t>
  </si>
  <si>
    <t>端子箱</t>
  </si>
  <si>
    <t>自动测温取样、定氧装置</t>
  </si>
  <si>
    <t>升降小车传动装置（三合一减速机）</t>
  </si>
  <si>
    <t>枪体及支架</t>
  </si>
  <si>
    <t>测温仪及双面大屏幕显示屏（含蜂鸣器）</t>
  </si>
  <si>
    <t>定氧仪及大屏幕显示屏（含蜂鸣器）</t>
  </si>
  <si>
    <t>自动取样枪体</t>
  </si>
  <si>
    <t>编码器</t>
  </si>
  <si>
    <t>自动测温枪体</t>
  </si>
  <si>
    <t>测钢液位装置（雷达液位计）</t>
  </si>
  <si>
    <t>摆动油缸</t>
  </si>
  <si>
    <t>手动测温取样、定氧装置</t>
  </si>
  <si>
    <t>四线喂丝机</t>
  </si>
  <si>
    <t>喂丝机本体</t>
  </si>
  <si>
    <t>放线架</t>
  </si>
  <si>
    <t>控制柜、箱</t>
  </si>
  <si>
    <t>喂丝机升降导管装置</t>
  </si>
  <si>
    <t>喂丝升降导管</t>
  </si>
  <si>
    <t>三合一电机</t>
  </si>
  <si>
    <t>合金加料系统</t>
  </si>
  <si>
    <t>高位料仓</t>
  </si>
  <si>
    <t>2×40m3、16×12m3</t>
  </si>
  <si>
    <t>高位料仓振动给料机（含手动插棒阀）</t>
  </si>
  <si>
    <t>电动、封闭式，VVVF，Q=120t/h</t>
  </si>
  <si>
    <t>2m3</t>
  </si>
  <si>
    <t>称量仓下振动给料机</t>
  </si>
  <si>
    <t>电动、封闭式，Q=120t/h</t>
  </si>
  <si>
    <t>水平可逆皮带机（电机减速机形式）</t>
  </si>
  <si>
    <t>胶带宽度：650mm，长度~18m，运输能力120t/h，耐高温皮带</t>
  </si>
  <si>
    <t>3m3</t>
  </si>
  <si>
    <t>汇总斗下扇形阀</t>
  </si>
  <si>
    <t>气缸驱动，行程开关检测</t>
  </si>
  <si>
    <t>三通阀</t>
  </si>
  <si>
    <t>插板阀</t>
  </si>
  <si>
    <t>氮封</t>
  </si>
  <si>
    <t>内衬耐摩衬板（16Mn）</t>
  </si>
  <si>
    <t>事故溜管</t>
  </si>
  <si>
    <t>密闭移动罩</t>
  </si>
  <si>
    <t>移动罩、传动行走机构</t>
  </si>
  <si>
    <t>固定侧围挡</t>
  </si>
  <si>
    <t>起重设备</t>
  </si>
  <si>
    <t>液压站检修3t电葫芦</t>
  </si>
  <si>
    <t>短网检修2t电葫芦</t>
  </si>
  <si>
    <t>特殊工具</t>
  </si>
  <si>
    <t>液压力矩扳手（能够显示力矩）</t>
  </si>
  <si>
    <t>电动液压地牛</t>
  </si>
  <si>
    <t>2t</t>
  </si>
  <si>
    <t>螺栓拉伸器</t>
  </si>
  <si>
    <t>LF区域内软管及阀门</t>
  </si>
  <si>
    <t>除尘阀</t>
  </si>
  <si>
    <t>炉盖第四孔除尘阀φ2620</t>
  </si>
  <si>
    <t>移动除尘罩除尘阀φ1720</t>
  </si>
  <si>
    <t>LF加料除尘总阀φ1320</t>
  </si>
  <si>
    <t>LF炉系统机械安装材料</t>
  </si>
  <si>
    <t>LF区域内水系统配管</t>
  </si>
  <si>
    <t>LF区域内液压系统配管</t>
  </si>
  <si>
    <t>LF区域内润滑系统配管</t>
  </si>
  <si>
    <t>LF区域内气动系统配管</t>
  </si>
  <si>
    <t>RH精炼装置</t>
  </si>
  <si>
    <t>不在本标段，仅考虑能介、土建</t>
  </si>
  <si>
    <t>钢渣一次处理</t>
  </si>
  <si>
    <t>仅考虑厂房土建、吊车</t>
  </si>
  <si>
    <t>1.8.1</t>
  </si>
  <si>
    <t>25t电磁起重机</t>
  </si>
  <si>
    <t>Lk=27m A6，起升高度~11m</t>
  </si>
  <si>
    <t>1.8.2</t>
  </si>
  <si>
    <t>16t电磁起重机</t>
  </si>
  <si>
    <t>利旧改造废钢库起重机（原起重机参数Q=16/3.2t A5 H=12.00m S=28.5m（轨距））。改为Lk=18m A5，起升高度从11m提升至~14m</t>
  </si>
  <si>
    <t>1.8.3</t>
  </si>
  <si>
    <t>100/32t铸造起重机</t>
  </si>
  <si>
    <t>Lk=18m A7，双梁单小车，起升高度~18m，主副勾带称量装置，无线传输，精度0.3%，龙门勾为可变勾距形式，4400/5500mm双梁，主视频监控系统；运行状况监控系统；电气仓冷风机；</t>
  </si>
  <si>
    <t>1.8.4</t>
  </si>
  <si>
    <t>20/5t桥式起重机</t>
  </si>
  <si>
    <t>Lk=25m A5，起升高度~33m</t>
  </si>
  <si>
    <t>1.8.5</t>
  </si>
  <si>
    <t>100t+100t废钢加料起重机</t>
  </si>
  <si>
    <t>Lk=21.5m A7，双梁双小车，起升高度~30m</t>
  </si>
  <si>
    <t>1.8.6</t>
  </si>
  <si>
    <t>380/90t铸造起重机</t>
  </si>
  <si>
    <r>
      <rPr>
        <sz val="10"/>
        <rFont val="宋体"/>
        <charset val="134"/>
      </rPr>
      <t xml:space="preserve">Lk=21.5m， </t>
    </r>
    <r>
      <rPr>
        <sz val="10"/>
        <color rgb="FFFF0000"/>
        <rFont val="宋体"/>
        <charset val="134"/>
      </rPr>
      <t>A7</t>
    </r>
    <r>
      <rPr>
        <sz val="10"/>
        <rFont val="宋体"/>
        <charset val="134"/>
      </rPr>
      <t>，带称量，四梁双小车，起升高度~25m,其中一台起重机龙门勾为可变勾距形式 4400/5500mm</t>
    </r>
  </si>
  <si>
    <t>1.8.7</t>
  </si>
  <si>
    <t>20t桥式起重机</t>
  </si>
  <si>
    <t>Lk=22m， A5，起升高度27.5m</t>
  </si>
  <si>
    <t>利旧改造废钢库起重机（原起重机参数Q=16/3.2t A5 H=12.00m S=28.5m（轨距））。改为Lk=19m， A5，起升高度27.5m</t>
  </si>
  <si>
    <t>1.8.8</t>
  </si>
  <si>
    <t>160/50t桥式起重机</t>
  </si>
  <si>
    <t>Lk=22m ，A6，起升高度33m</t>
  </si>
  <si>
    <t>1.8.9</t>
  </si>
  <si>
    <t>50/10t桥式起重机</t>
  </si>
  <si>
    <t>Lk=15m ，A6，起升高度63m</t>
  </si>
  <si>
    <t>1.8.10</t>
  </si>
  <si>
    <t>利旧改造废钢库起重机（原起重机参数Q=16/3.2t A5 H=12.00m S=28.5m（轨距））。改为Lk=15m A6，起升高度58.5m</t>
  </si>
  <si>
    <t>1.8.11</t>
  </si>
  <si>
    <t>400/90t铸造起重机</t>
  </si>
  <si>
    <r>
      <rPr>
        <sz val="10"/>
        <rFont val="宋体"/>
        <charset val="134"/>
      </rPr>
      <t>Lk=16.5m ，</t>
    </r>
    <r>
      <rPr>
        <sz val="10"/>
        <color rgb="FFFF0000"/>
        <rFont val="宋体"/>
        <charset val="134"/>
      </rPr>
      <t>A7</t>
    </r>
    <r>
      <rPr>
        <sz val="10"/>
        <rFont val="宋体"/>
        <charset val="134"/>
      </rPr>
      <t>，带称量，四梁双小车，起升高度~30m</t>
    </r>
  </si>
  <si>
    <t>1.8.12</t>
  </si>
  <si>
    <t>10t单梁吊</t>
  </si>
  <si>
    <t>Lk=4.5m ，A5，单梁悬挂起重机，起升高度~50m</t>
  </si>
  <si>
    <t>1.8.13</t>
  </si>
  <si>
    <t>Lk=15.9m ，A6，双梁单小车，起升高度~31m</t>
  </si>
  <si>
    <t>1.8.14</t>
  </si>
  <si>
    <t>32/10t桥式起重机</t>
  </si>
  <si>
    <t>1.8.15</t>
  </si>
  <si>
    <r>
      <rPr>
        <sz val="10"/>
        <rFont val="宋体"/>
        <charset val="134"/>
      </rPr>
      <t>Lk=21.5m ，</t>
    </r>
    <r>
      <rPr>
        <sz val="10"/>
        <color rgb="FFFF0000"/>
        <rFont val="宋体"/>
        <charset val="134"/>
      </rPr>
      <t>A7</t>
    </r>
    <r>
      <rPr>
        <sz val="10"/>
        <rFont val="宋体"/>
        <charset val="134"/>
      </rPr>
      <t xml:space="preserve"> ，带称量，四梁双小车，起升高度27m</t>
    </r>
  </si>
  <si>
    <t>5t单梁吊</t>
  </si>
  <si>
    <t>Lk=6m,A4,吊钩桥式起重机，起升高度~55m</t>
  </si>
  <si>
    <t>1.8.16</t>
  </si>
  <si>
    <t>起重机检修电葫芦</t>
  </si>
  <si>
    <t>20t电葫芦</t>
  </si>
  <si>
    <t>3t电葫芦</t>
  </si>
  <si>
    <t>5t电葫芦</t>
  </si>
  <si>
    <t>合计</t>
  </si>
  <si>
    <t>KR脱硫液压系统</t>
  </si>
  <si>
    <t>不锈钢类比例液压泵站</t>
  </si>
  <si>
    <t>油箱3000L（不锈钢）；主泵（2+1）x255L/min；主泵电机（2+1）x90Kw；循环泵（1+1）x167L/min；循环泵电机（1+1）x5.5Kw；板式冷却器（316L）；皮囊式蓄能器4x50L。</t>
  </si>
  <si>
    <t>不锈钢类液压阀台</t>
  </si>
  <si>
    <t>DN16比例回路：1组
DN6手动回路：1组</t>
  </si>
  <si>
    <t>不锈钢类液压中间配管</t>
  </si>
  <si>
    <t>材质06Cr19Ni10，含管路附件</t>
  </si>
  <si>
    <t>烟罩升降液压系统</t>
  </si>
  <si>
    <t>不锈钢类常规液压泵站</t>
  </si>
  <si>
    <t>油箱1200L（不锈钢）；主泵（1+1）x96L/min；主泵电机（1+1）x37Kw；循环泵（1+1）x48.7L/min；循环泵电机（1+1）x1.5Kw；板式冷却器（316L）；皮囊式蓄能器8x50L。</t>
  </si>
  <si>
    <t>DN10常规回路：1组</t>
  </si>
  <si>
    <t>液压专用工具</t>
  </si>
  <si>
    <t>充氮工具</t>
  </si>
  <si>
    <t>加油小车</t>
  </si>
  <si>
    <t>滤油小车</t>
  </si>
  <si>
    <t>电动单轨吊</t>
  </si>
  <si>
    <t>设备起吊重量2t，起升高度5米</t>
  </si>
  <si>
    <t>调试备件</t>
  </si>
  <si>
    <t>调试滤芯及密封圈</t>
  </si>
  <si>
    <t>不锈钢管</t>
  </si>
  <si>
    <t>氧枪维修区</t>
  </si>
  <si>
    <t>等离子管道切割机</t>
  </si>
  <si>
    <t>型号：CG2-11C
气割钢管直径：&gt;450mm
气割钢管壁厚：5~50mm</t>
  </si>
  <si>
    <t>直流弧焊机</t>
  </si>
  <si>
    <t>ZX7-500</t>
  </si>
  <si>
    <t>交直两用工弧焊机</t>
  </si>
  <si>
    <t>NSA2-300-1；带ZXG</t>
  </si>
  <si>
    <t>交流弧焊机</t>
  </si>
  <si>
    <t>BX1-500</t>
  </si>
  <si>
    <t>电动试压泵</t>
  </si>
  <si>
    <t>DSY-200/3</t>
  </si>
  <si>
    <t>超声波探伤仪</t>
  </si>
  <si>
    <t>CTS-23型</t>
  </si>
  <si>
    <t>手提式电动单相砂轮机</t>
  </si>
  <si>
    <t>砂轮直径Φ125</t>
  </si>
  <si>
    <t>氧枪立修喷头更换辅助装置</t>
  </si>
  <si>
    <t>-</t>
  </si>
  <si>
    <t>手动地面滑车</t>
  </si>
  <si>
    <t>Q=10t</t>
  </si>
  <si>
    <t>氧枪修理支架</t>
  </si>
  <si>
    <t>非标设备</t>
  </si>
  <si>
    <t>碳弧气刨</t>
  </si>
  <si>
    <t>超声波测厚仪（用于检测枪）</t>
  </si>
  <si>
    <t>氧枪吊挂架</t>
  </si>
  <si>
    <t>副枪吊挂架</t>
  </si>
  <si>
    <t>10t双梁桥式起重机</t>
  </si>
  <si>
    <t>Q=10t，S=23.5m，A3，起升高度约7m，全遥控</t>
  </si>
  <si>
    <t>废钢库</t>
  </si>
  <si>
    <t>25t磁盘桥式起重机</t>
  </si>
  <si>
    <t>Q=25t S=28m，A6，起升高度约11m，称量装置。带电磁吸盘：椭圆形～1850*5100mm。</t>
  </si>
  <si>
    <t>全自动快速分析系统</t>
  </si>
  <si>
    <t>自动风动送样装置</t>
  </si>
  <si>
    <t>用于试样的快速输送。由手动发送站、自动接收站、减速装置、送样管道及连接件、样盒、控制系统等组成。一对一单管正压式，输送样盒速度～20m/s。管道长度约为1300m</t>
  </si>
  <si>
    <t>自动制样系统（包括以下几部分）</t>
  </si>
  <si>
    <t>全自动切割机（在自动化系统里）</t>
  </si>
  <si>
    <t>用于切割光谱试样</t>
  </si>
  <si>
    <t>全自动铣样机（在自动化系统里）</t>
  </si>
  <si>
    <t>用于本工程柱状样（提桶样）、圆样、细棒样、渣样等各种类型试样的自动制备，满足自动分析需要</t>
  </si>
  <si>
    <t>全自动冲样机（在自动化系统里）</t>
  </si>
  <si>
    <t>全自动渣样机（破碎、除铁、研磨、压片）（在自动化系统里）</t>
  </si>
  <si>
    <t>用于本工程渣样试样的自动制备，满足自动分析需要</t>
  </si>
  <si>
    <t>全自动针样制样机（在自动化系统里）</t>
  </si>
  <si>
    <t>自动分析系统（包括以下几部分）</t>
  </si>
  <si>
    <t>直读光谱仪（在自动化系统里）</t>
  </si>
  <si>
    <t>用于钢样的化学成分分析。设备组成：设备组成：由主机、计算机和打印机等组成。配以太网卡，与其他计算机系统采用TCP/IP协议通过以太网进行数据通讯。配备必要的稳压电源、循环冷却装置和气体净化系统等。分析元素：C、Si、Mn、P、S、Cr、Mo、Ni、Nb、Ti、Cu、V、Al、Pb、Zn、Sn、Ca、B、As、Bi、Sb 及 O、N 等</t>
  </si>
  <si>
    <t>红外碳硫分析仪（在自动化系统里）</t>
  </si>
  <si>
    <t>用于钢样的碳、硫含量测定。测量范围：碳：0.0006%～6%（1g 试样），硫：0.0006%～1%（1g 试样）；分析精度：碳：0.0003mg 或 0.5MSD；硫：0.0003mg 或 0.5MSD；电子天平：最大称量：110g，精度：0.1mg。</t>
  </si>
  <si>
    <t>氧氮测定仪（在自动化系统里）</t>
  </si>
  <si>
    <t>用于检测试样中氧氮含量。检测范围（1g试样）：O：2.0ppm～0.2%，N：2.0ppm～0.5%。电子天平：最大称量：110g，精度：0.1mg</t>
  </si>
  <si>
    <t>X荧光光谱仪（在自动化系统里）</t>
  </si>
  <si>
    <t>用于渣样的化学成分分析。设备组成：由主机、计算机和打印机等组成。配以太网卡，与其他计算机系统采用 TCP/IP 协议通过以太网进行数据通讯。配备必要的稳压电源、循环冷却装置和气体净化系统等。分析元素范围：O～U，含量范围：ppm～100%；（以满足渣样分析为准）。进样系统：多位自动进样装置，并配备相应数量的试样盒/杯</t>
  </si>
  <si>
    <t>自动样品输送系统（包括以下几部分）</t>
  </si>
  <si>
    <t>机器人（在自动化系统里）</t>
  </si>
  <si>
    <t>用于实现试样在全自动快速分系统内的转运。</t>
  </si>
  <si>
    <t>输送带</t>
  </si>
  <si>
    <t>用于试样运输</t>
  </si>
  <si>
    <t>试样输入输出装置</t>
  </si>
  <si>
    <t>用于试样的手动输入输出。试样制备区域和仪器分析区域各一套</t>
  </si>
  <si>
    <t>人工样品介入位</t>
  </si>
  <si>
    <t>自动激光打标机（在自动化系统里）</t>
  </si>
  <si>
    <t>用于试样的标识打印。重复精度：±0.002mm，最小线宽：0.01mm，雕刻深度：≤0.5mm</t>
  </si>
  <si>
    <t>试样归档架</t>
  </si>
  <si>
    <t>用于试样的归档。溜槽型试样归档装置</t>
  </si>
  <si>
    <t>安全围栏</t>
  </si>
  <si>
    <t>用于快分系统的安全防护。包括围栏（铝合金+有机玻璃）、安全门、紧急停止按钮、安全门限位元、安全门锁、声光报警灯装置等</t>
  </si>
  <si>
    <t>实验室自动化与数据管理系统（包括以下几部分）</t>
  </si>
  <si>
    <t>控制系统</t>
  </si>
  <si>
    <t>包括控制柜、注册终端、网络交换机、网络机柜、网线及自动化软件等，满足快分系统的自动化控制需求</t>
  </si>
  <si>
    <t>大屏</t>
  </si>
  <si>
    <t>用于自动化系统的显示、控制等功能。</t>
  </si>
  <si>
    <t>专业中控台</t>
  </si>
  <si>
    <t>用于操作人员操作快分系统</t>
  </si>
  <si>
    <t>网络及电脑设备</t>
  </si>
  <si>
    <t>离线设备</t>
  </si>
  <si>
    <t>碳硫坩埚空烧炉（离线）</t>
  </si>
  <si>
    <t>用于红外碳硫测定仪用坩埚的灼烧</t>
  </si>
  <si>
    <t>磨样机（离线）</t>
  </si>
  <si>
    <t>用于钢样的磨光。砂带尺寸（mm）：1630×200。</t>
  </si>
  <si>
    <t>钻床（离线）</t>
  </si>
  <si>
    <t>用于碳硫分析试样的钻取。最大钻孔直径：Φ16mm。</t>
  </si>
  <si>
    <t>光谱试样切割机（离线）</t>
  </si>
  <si>
    <t>用于切割光谱试样，砂轮片规格（mm）：Φ400×Φ32×4，切割进给速度（mm/s）：1.2～1.5</t>
  </si>
  <si>
    <t>密封制样粉碎机（离线）</t>
  </si>
  <si>
    <t>对炉渣样粉碎加工</t>
  </si>
  <si>
    <t>压片机（离线）</t>
  </si>
  <si>
    <t>将粉末压成试片进行成分分析，为X光光谱分析仪提供试样</t>
  </si>
  <si>
    <t>剪尾机（离线）</t>
  </si>
  <si>
    <t>用于剪掉球拍样尾柄。剪切尾柄直径：≤Φ10mm。</t>
  </si>
  <si>
    <t>仪器台</t>
  </si>
  <si>
    <t>用于放置仪器。外形尺寸满足使用需要，台面承重：200kg/m2</t>
  </si>
  <si>
    <t>气体管路系统（离线）</t>
  </si>
  <si>
    <t>各种所需气体汇流排装置各1套，气体分配器、不锈钢管、钢瓶固定架、小支架、阀门等</t>
  </si>
  <si>
    <t>X荧光光谱仪（离线）</t>
  </si>
  <si>
    <t>氧氮分析仪（离线）</t>
  </si>
  <si>
    <t>碳硫分析仪（离线）</t>
  </si>
  <si>
    <t>用于钢样的碳、硫含量测定。测量范围：碳：0.0006%～6%（1g 试样），硫：0.0006%～1%（1g 试样）；分析精度：碳：0.0003mg 或 0.5MSD；硫：0.0003mg 或 0.5MSD；电子天平：最大称量：110g，精度：0.1mg</t>
  </si>
  <si>
    <t>电子天平（离线）</t>
  </si>
  <si>
    <t>精度万分之一</t>
  </si>
  <si>
    <t>冲样机（离线）</t>
  </si>
  <si>
    <t>JQ-2</t>
  </si>
  <si>
    <t>针样制样机（离线）</t>
  </si>
  <si>
    <t>YCY-1</t>
  </si>
  <si>
    <t>车间内设备</t>
  </si>
  <si>
    <t>转炉氧枪供水管手动蝶阀</t>
  </si>
  <si>
    <t>型号：三偏心法兰式手动蝶阀
规格： DN350  P=2.5MPa
介质：软水，35℃
使用环境：室内
其他要求见设备统一规定</t>
  </si>
  <si>
    <t>转炉氧枪回水管手动蝶阀</t>
  </si>
  <si>
    <t>型号：中线型法兰式手动蝶阀
规格： DN350  P=1.0MPa
介质：软水，45℃
使用环境：室内
其他要求见设备统一规定</t>
  </si>
  <si>
    <t>转炉氧枪出口止回阀</t>
  </si>
  <si>
    <t>规格：DN350  P＝1.0MPa   
介质：软水，35℃
使用环境：室内
配对法兰、金属垫片及紧固件  
其他要求见设备统一规定</t>
  </si>
  <si>
    <t>转炉中压净环水供水管手动蝶阀</t>
  </si>
  <si>
    <t>型号：中线型法兰式手动蝶阀
规格： DN250  P=1.0MPa
介质：净环水，35℃
使用环境：室内
其他要求见设备统一规定</t>
  </si>
  <si>
    <t>转炉中压净环水回水管手动蝶阀</t>
  </si>
  <si>
    <t>LF炉净环水供水管手动蝶阀</t>
  </si>
  <si>
    <t>型号：中线型法兰式手动蝶阀
规格： DN400  P=1.6MPa
介质：净环水，35℃
使用环境：室内
其他要求见设备统一规定</t>
  </si>
  <si>
    <t>LF炉净环水回水管手动蝶阀</t>
  </si>
  <si>
    <t>型号：中线型法兰式手动蝶阀
规格： DN400  P=1.0MPa
介质：净环水，45℃
使用环境：室内
其他要求见设备统一规定</t>
  </si>
  <si>
    <t>RH软水供水管手动蝶阀</t>
  </si>
  <si>
    <t>型号：中线型法兰式手动蝶阀
规格： DN300  P=1.6MPa
介质：软水，35℃
使用环境：室内
其他要求见设备统一规定</t>
  </si>
  <si>
    <t>RH软水回水管手动蝶阀</t>
  </si>
  <si>
    <t>型号：中线型法兰式手动蝶阀
规格： DN300  P=1.0MPa
介质：软水，55℃
使用环境：室内
其他要求见设备统一规定</t>
  </si>
  <si>
    <t>RH净环水供水管手动蝶阀</t>
  </si>
  <si>
    <t>型号：中线型法兰式手动蝶阀
规格： DN300  P=1.6MPa
介质：净环水，35℃
使用环境：室内
其他要求见设备统一规定</t>
  </si>
  <si>
    <t>RH净环水回水管手动蝶阀</t>
  </si>
  <si>
    <t>型号：中线型法兰式手动蝶阀
规格： DN300  P=1.0MPa
介质：净环水，55℃
使用环境：室内
其他要求见设备统一规定</t>
  </si>
  <si>
    <t>车间内手动蝶阀</t>
  </si>
  <si>
    <t>型号：中线型法兰式手动蝶阀
规格： DN100  P=1.0MPa
介质：生产新水，35℃
使用环境：室内
其他要求见设备统一规定</t>
  </si>
  <si>
    <t>型号：中线型法兰式手动蝶阀
规格： DN50  P=1.0MPa
介质：生产新水，35℃
使用环境：室内
其他要求见设备统一规定</t>
  </si>
  <si>
    <t>车间内手动球阀</t>
  </si>
  <si>
    <t xml:space="preserve">手动球阀
规格： DN25  P=1.0MPa
介质：生产新水，35℃
使用环境：室内
结构形式：两片式，全通径；
阀体：铸钢；
球体：不锈钢316L；
阀杆：2Cr13；
密封圈：增强聚四氟乙烯；
填料：聚四氟乙烯；
连接方式：螺纹连接；
（阀体、阀板内外采用无毒粉体环氧树脂静电喷涂，带法兰、金属密封垫及紧固件，阀体螺栓材质不锈钢，法兰螺栓强度8.8） </t>
  </si>
  <si>
    <t>排水泵</t>
  </si>
  <si>
    <t>型号：潜污泵
性能：Q=10m3/h   H=25m
配套电机：3.7kW  380V
型号：Y3132S2-2  N=7.5kW  380V
所有电机按照节能电机进行选型，不低于YX3系列(能效等级不低于一级)，且必须符合国家相关规定</t>
  </si>
  <si>
    <t>蓄热站提升泵</t>
  </si>
  <si>
    <t>型号：无密封自吸泵
工况点：Q=30m3/h，H=44m；吸程：≤7m；
配套电机：15kW 1450r/min
电机电压380V；IP54；
绝缘：F；
泵壳：碳钢；
蜗壳、泵盖:ZG0Cr18Ni9；
叶轮、泵轴、轴套0Cr18Ni9；
密封形式：自吸泵专用机封；
轴承：滚动轴承，国产哈、瓦、洛；
型号：Y3132S2-2  N=7.5kW  380V
所有电机按照节能电机进行选型，不低于YX3系列(能效等级不低于一级)，且必须符合国家相关规定</t>
  </si>
  <si>
    <t>出口止回阀</t>
  </si>
  <si>
    <t>结构：重锤式缓闭止回阀
规格：DN100  P＝1.0MPa  
介质条件：净环水
使用环境：室内
其他要求见设备统一规定</t>
  </si>
  <si>
    <t xml:space="preserve">出水支管手动阀
</t>
  </si>
  <si>
    <t>型号：三偏心法兰式金属硬密封手动蝶阀
规格： DN100  P=1.0MPa
介质：净环水，55℃
使用环境：室内
其他要求见设备统一规定</t>
  </si>
  <si>
    <t>定排水池提升泵</t>
  </si>
  <si>
    <t>型号：无密封自吸泵
工况点：Q=80m3/h，H=36m；吸程：≤7m；
配套电机：25kW 1450r/min
电机电压380V；IP54；
绝缘：F；
泵壳：碳钢；
蜗壳、泵盖:ZG0Cr18Ni9；
叶轮、泵轴、轴套0Cr18Ni9；
密封形式：自吸泵专用机封；
轴承：滚动轴承，国产哈、瓦、洛；</t>
  </si>
  <si>
    <t>结构：重锤式缓闭止回阀
规格：DN150  P＝1.0MPa  
介质条件：净环水
使用环境：室内 
其他要求见设备统一规定</t>
  </si>
  <si>
    <t>型号：三偏心法兰式金属硬密封手动蝶阀
规格： DN150  P=1.0MPa
介质：净环水，55℃
使用环境：室内
其他要求见设备统一规定</t>
  </si>
  <si>
    <t>材料</t>
  </si>
  <si>
    <t>无缝钢管</t>
  </si>
  <si>
    <t>D325*8</t>
  </si>
  <si>
    <t>米</t>
  </si>
  <si>
    <t>D377*9</t>
  </si>
  <si>
    <t>D273*6</t>
  </si>
  <si>
    <t>D426*9</t>
  </si>
  <si>
    <t>D168*5</t>
  </si>
  <si>
    <t>镀锌钢管</t>
  </si>
  <si>
    <t>热浸锌镀锌钢管</t>
  </si>
  <si>
    <t>D219*6</t>
  </si>
  <si>
    <t>D73*4</t>
  </si>
  <si>
    <t>手动蝶阀</t>
  </si>
  <si>
    <t>DN200，P=1.0MPa</t>
  </si>
  <si>
    <t>DN65，P=1.0MPa</t>
  </si>
  <si>
    <t>室内消火栓</t>
  </si>
  <si>
    <t>保温材料</t>
  </si>
  <si>
    <t>管道保温棉复合硅酸盐</t>
  </si>
  <si>
    <t>立方米</t>
  </si>
  <si>
    <t>镀锌铁皮</t>
  </si>
  <si>
    <t>平方米</t>
  </si>
  <si>
    <t>焊接钢管</t>
  </si>
  <si>
    <t>混凝土排水检查井</t>
  </si>
  <si>
    <t>φ1m（带井盖及井座）</t>
  </si>
  <si>
    <t>PVC</t>
  </si>
  <si>
    <t>PVC-U塑料排水管 　</t>
  </si>
  <si>
    <t>dn110</t>
  </si>
  <si>
    <t>DN150，P=1.0MPa</t>
  </si>
  <si>
    <t>DN100，P=1.0MPa</t>
  </si>
  <si>
    <t>DN50，P=1.0MPa</t>
  </si>
  <si>
    <t xml:space="preserve">截止阀 </t>
  </si>
  <si>
    <t>J11X-10  DN40</t>
  </si>
  <si>
    <t>J11X-10  DN25</t>
  </si>
  <si>
    <t>J11X-10  DN15</t>
  </si>
  <si>
    <t>蹲式大便器</t>
  </si>
  <si>
    <t>（含自闭式冲洗阀、存水弯等）</t>
  </si>
  <si>
    <t>斗式小便器</t>
  </si>
  <si>
    <t>自闭式冲洗阀洗手盆</t>
  </si>
  <si>
    <t>（含角式截止阀、存水弯、提拉排水装置等）</t>
  </si>
  <si>
    <t>污水池</t>
  </si>
  <si>
    <t xml:space="preserve">污水检查井   </t>
  </si>
  <si>
    <t>混凝土排水检查井  φ1m（带井盖及井座）</t>
  </si>
  <si>
    <t>钢结构</t>
  </si>
  <si>
    <t>管道支架及其他材料</t>
  </si>
  <si>
    <t>Q235B</t>
  </si>
  <si>
    <t>吨</t>
  </si>
  <si>
    <t>除盐水、软水管道预膜</t>
  </si>
  <si>
    <t>软水系统</t>
  </si>
  <si>
    <t>氧枪副枪冷却供水泵P1101</t>
  </si>
  <si>
    <r>
      <rPr>
        <sz val="10"/>
        <rFont val="宋体"/>
        <charset val="134"/>
      </rPr>
      <t>型号：多级单吸卧式离心泵
工况点：Q=450m3/h，H=190.4m
配套电机：400kW 2960r/min
电机电压10000V；IP54；
绝缘：F；</t>
    </r>
  </si>
  <si>
    <t>P1101泵组进水管手动阀</t>
  </si>
  <si>
    <t>型号：中线型法兰式手动蝶阀
规格： DN350  P=1.0MPa
介质：软水，35℃
使用环境：室内
其他要求见设备统一规定</t>
  </si>
  <si>
    <t>P1101进水管橡胶伸缩节</t>
  </si>
  <si>
    <t>规格：DN350，P=1.0MPa
介质：软水，35℃
使用环境：室内
配对法兰、金属垫片及紧固件</t>
  </si>
  <si>
    <t>P1101出口钢制伸缩节</t>
  </si>
  <si>
    <t>型号：传力式钢制伸缩节 
规格：DN300，P=2.5MPa
介质：软水，35℃
使用环境：室内
带限位装置，配对法兰、金属垫片及紧固件
其他要求见设备统一规定</t>
  </si>
  <si>
    <t>P1101出口微阻缓闭止回阀</t>
  </si>
  <si>
    <t>规格：DN300  P＝2.5MPa   
介质：软水，35℃
使用环境：室内
配对法兰、金属垫片及紧固件  
其他要求见设备统一规定</t>
  </si>
  <si>
    <t xml:space="preserve">P1101出口电动阀
</t>
  </si>
  <si>
    <t>型号：三偏心法兰式电动蝶阀
规格： DN300  P=2.5MPa
介质：软水，35℃
使用环境：室内
配对法兰、金属垫片及紧固件 
其他要求见设备统一规定</t>
  </si>
  <si>
    <t xml:space="preserve">P1101出口手动阀
</t>
  </si>
  <si>
    <t>型号：三偏心法兰式手动蝶阀
规格： DN300  P=2.5MPa
介质：软水，35℃
使用环境：室内
配对法兰、金属垫片及紧固件 
其他要求见设备统一规定</t>
  </si>
  <si>
    <t>自清洗管道过滤器PF1101</t>
  </si>
  <si>
    <t xml:space="preserve">型号：吸污式管道过滤器
自动除垢过滤器
过滤水量：450m3/h
承压等级：2.5MPa
过滤精度：0.2mm
进出口管径DN300
其他要求见设备统一规定 </t>
  </si>
  <si>
    <t xml:space="preserve">PF1101进出口手动阀
</t>
  </si>
  <si>
    <t>型号：三偏心法兰式手动蝶阀
规格： DN300  P=2.5MPa
介质：软水，35℃
使用环境：室内
其他要求见设备统一规定</t>
  </si>
  <si>
    <t>板式换热器CT1101</t>
  </si>
  <si>
    <t>板式换热器
单台流量450m³/h
设计压力1.0MPa
热侧进水温度：50℃
热侧出水温度：35℃
冷侧进水温度：33℃
冷侧出水温度：48℃
结构形式：钢结构
换热板材质：SS304
进出口压差≤10m
热侧介质条件：软水
冷侧介质条件：净环水
使用环境：室内
进出口带就地温度计和就地压力表
带配对法兰、金属垫片及紧固件</t>
  </si>
  <si>
    <t>CT1101进、出口手动阀</t>
  </si>
  <si>
    <t>型号：中线型法兰式手动蝶阀
规格： DN300  P=1.0MPa
介质：软水，35℃
使用环境：室内
配对法兰、金属垫片及紧固件 
其他要求见设备统一规定</t>
  </si>
  <si>
    <t>RH软水供水泵P1105</t>
  </si>
  <si>
    <t>型号：多级单吸卧式离心泵
工况点：Q=650m3/h，H=121.6m
配套电机：450kW 2960r/min
电机电压:10000V；IP44；
绝缘：F；</t>
  </si>
  <si>
    <t>P1105泵组进水管手动阀</t>
  </si>
  <si>
    <t>型号：中线型法兰式手动蝶阀
规格： DN400  P=1.0MPa
介质：软水，35℃
使用环境：室内
其他要求见设备统一规定</t>
  </si>
  <si>
    <t>P1105进水管橡胶伸缩节</t>
  </si>
  <si>
    <t>规格：DN400，P=1.0MPa
介质：软水，35℃
使用环境：室内
配对法兰、金属垫片及紧固件</t>
  </si>
  <si>
    <t>P1105出口钢制伸缩节</t>
  </si>
  <si>
    <t>型号：传力式钢制伸缩节 
规格：DN300，P=1.6MPa
介质：软水，35℃
使用环境：室内
带限位装置，配对法兰、金属垫片及紧固件
其他要求见设备统一规定</t>
  </si>
  <si>
    <t>P1105出口微阻缓闭止回阀</t>
  </si>
  <si>
    <t>规格：DN300  P＝1.6MPa   
介质：软水，35℃
使用环境：室内
配对法兰、金属垫片及紧固件  
其他要求见设备统一规定</t>
  </si>
  <si>
    <t>P1105出口电动阀</t>
  </si>
  <si>
    <t>型号：中线型法兰式电动蝶阀
规格： DN300  P=1.6MPa
介质：软水，35℃
使用环境：室内
配对法兰、金属垫片及紧固件 
其他要求见设备统一规定</t>
  </si>
  <si>
    <t>P1105出口手动阀</t>
  </si>
  <si>
    <t>型号：中线型法兰式手动蝶阀
规格： DN300  P=1.6MPa
介质：软水，35℃
使用环境：室内
配对法兰、金属垫片及紧固件 
其他要求见设备统一规定</t>
  </si>
  <si>
    <t>自清洗管道过滤器PF1105</t>
  </si>
  <si>
    <t xml:space="preserve">型号：吸污式管道过滤器
自动除垢过滤器
过滤水量：650m3/h
承压等级：1.6MPa
过滤精度：0.2mm
进出口管径DN300
其他要求见设备统一规定 </t>
  </si>
  <si>
    <t>PF1101进出口手动阀</t>
  </si>
  <si>
    <t>板式换热器CT1105</t>
  </si>
  <si>
    <t>板式换热器
单台流量345m³/h
设计压力1.0MPa
热侧进水温度：55℃
热侧出水温度：35℃
冷侧进水温度：33℃
冷侧出水温度：53℃
结构形式：钢结构
换热板材质：SS304
进出口压差≤10m
热侧介质条件：软水
冷侧介质条件：净环水
使用环境：室内
进出口带就地温度计和就地压力表
带配对法兰、金属垫片及紧固件</t>
  </si>
  <si>
    <t>型号：中线型法兰式手动蝶阀
规格： DN250  P=1.0MPa
介质：软水，35℃
使用环境：室内
配对法兰、金属垫片及紧固件 
其他要求见设备统一规定</t>
  </si>
  <si>
    <t>氧枪软水冷却塔</t>
  </si>
  <si>
    <t>型号：逆流式钢结构玻璃钢冷却塔
单台处理水量：Q=450m3/h
进水温度50℃，出水温度35℃ 
带油温、振动报警
配套风机及电机：~4m风机，淋水密度≤16m3/m2.电机功率~22kW  380V
其他要求见设备统一规定</t>
  </si>
  <si>
    <t>CT1201进水手动阀</t>
  </si>
  <si>
    <t>型号：手动蝶阀
规格： DN250  P=1.0MPa
介质：软水，35℃
使用环境：室内
其他要求见设备统一规定</t>
  </si>
  <si>
    <t xml:space="preserve">CT1201超越管手动阀
</t>
  </si>
  <si>
    <t>型号：手动蝶阀
规格： DN200  P=1.0MPa
介质：软水，35℃
使用环境：室内
其他要求见设备统一规定</t>
  </si>
  <si>
    <t>RH软水冷却塔</t>
  </si>
  <si>
    <t>型号：逆流式钢结构玻璃钢冷却塔
单台处理水量：Q=650m3/h
进水温度55℃，出水温度35℃ 
带油温、振动报警
配套风机及电机：~5m风机，淋水密度≤16m3/m2.电机功率~30kW  380V
其他要求见设备统一规定</t>
  </si>
  <si>
    <t>型号：手动蝶阀
规格： DN400  P=1.0MPa
介质：软水，35℃
使用环境：室内
其他要求见设备统一规定</t>
  </si>
  <si>
    <t>型号：手动蝶阀
规格： DN350  P=1.0MPa
介质：软水，35℃
使用环境：室内
其他要求见设备统一规定</t>
  </si>
  <si>
    <t xml:space="preserve">软水水池补水电动阀
</t>
  </si>
  <si>
    <t>型号：中线型法兰式电动蝶阀
规格： DN100  P=1.0MPa
介质：软水，35℃
使用环境：室内
配对法兰、金属垫片及紧固件 
其他要求见设备统一规定</t>
  </si>
  <si>
    <t xml:space="preserve">软水水池补水手动阀
</t>
  </si>
  <si>
    <t>型号：中线型法兰式手动蝶阀
规格： DN100  P=1.0MPa
介质：软水，35℃
使用环境：室内
配对法兰、金属垫片及紧固件 
其他要求见设备统一规定</t>
  </si>
  <si>
    <t>型号：中线型法兰式手动蝶阀
规格： DN200  P=1.0MPa
介质：软水，35℃
使用环境：室内
配对法兰、金属垫片及紧固件 
其他要求见设备统一规定</t>
  </si>
  <si>
    <t xml:space="preserve">软水池放空手动阀
</t>
  </si>
  <si>
    <t>型号：弹性座封闸阀
规格：DN300 P=1.0MPa
介质：软水
使用环境：室外</t>
  </si>
  <si>
    <t>加药设备</t>
  </si>
  <si>
    <t>加药设备
药剂：杀菌灭藻剂、缓蚀阻垢剂
每套含：加药罐：V=3m3 ，φ1500，H=1.8m；搅拌机N=1.5kW，U=380V。罐体材质：PE。计量泵4台。
计量泵性能：Q=270L/h  H=40m  2台
单台设备包括：加药罐、搅拌机、计量泵、Y型过滤器及装置内部管路阀门等；2套共用控制柜、钢梯及平台等，机电一体品。
所有电机按照节能电机进行选型，不低于YX3系列(能效等级不低于一级)，且必须符合国家相关规定</t>
  </si>
  <si>
    <t>集中泵房吊车</t>
  </si>
  <si>
    <t>型号：电动单梁悬挂式起重机
起重量：5t  地面操作
跨度：  S=10m
提升高度：8m
配套电机：11kW  380V
所有电机按照节能电机进行选型，不低于YX3系列(能效等级不低于一级)，且必须符合国家相关规定</t>
  </si>
  <si>
    <t>加药间电动葫芦</t>
  </si>
  <si>
    <t>型号：电动葫芦
起重量：1t  地面操作
提升高度：5m
配套电机：1.7kW  380V 
所有电机按照节能电机进行选型，不低于YX3系列(能效等级不低于一级)，且必须符合国家相关规定</t>
  </si>
  <si>
    <t>板换间电动葫芦</t>
  </si>
  <si>
    <t>型号：电动葫芦
起重量：1t  地面操作
提升高度：10m
配套电机：1.7kW  380V 
所有电机按照节能电机进行选型，不低于YX3系列(能效等级不低于一级)，且必须符合国家相关规定</t>
  </si>
  <si>
    <t>冶炼净环水系统</t>
  </si>
  <si>
    <t>转炉中压供水泵P1102</t>
  </si>
  <si>
    <t>型号：单级双吸卧式离心泵
工况点：Q=213.4m3/h，H=72.8m
配套电机：90kW 2960r/min
电机电压380V；IP54；
绝缘：F；</t>
  </si>
  <si>
    <t>P1102泵组进水管手动阀</t>
  </si>
  <si>
    <t>P1102进水管橡胶伸缩节</t>
  </si>
  <si>
    <t>规格：DN250，P=1.0MPa
介质：净环水，35℃
使用环境：室内
配对法兰、金属垫片及紧固件</t>
  </si>
  <si>
    <t>P1102出口钢制伸缩节</t>
  </si>
  <si>
    <t>型号：传力式钢制伸缩节 
规格：DN200，P=1.0MPa
介质：净环水，35℃
使用环境：室内
带限位装置，配对法兰、金属垫片及紧固件
其他要求见设备统一规定</t>
  </si>
  <si>
    <t>P1102出口微阻缓闭止回阀</t>
  </si>
  <si>
    <t>规格：DN200  P＝1.0MPa   
介质：净环水，35℃
使用环境：室内
配对法兰、金属垫片及紧固件  
其他要求见设备统一规定</t>
  </si>
  <si>
    <t>P1102出口电动阀</t>
  </si>
  <si>
    <t>型号：中线型法兰式电动蝶阀
规格： DN200  P=1.0MPa
介质：净环水，35℃
使用环境：室内
配对法兰、金属垫片及紧固件 
其他要求见设备统一规定</t>
  </si>
  <si>
    <t>P1102出口手动阀</t>
  </si>
  <si>
    <t>型号：中线型法兰式手动蝶阀
规格： DN200  P=1.0MPa
介质：净环水，35℃
使用环境：室内
配对法兰、金属垫片及紧固件 
其他要求见设备统一规定</t>
  </si>
  <si>
    <t>自清洗管道过滤器PF1102</t>
  </si>
  <si>
    <t xml:space="preserve">型号：吸污式管道过滤器
自动除垢过滤器
过滤水量：215m3/h
承压等级：1.0MPa
过滤精度：0.2mm
进出口管径DN250
其他要求见设备统一规定 </t>
  </si>
  <si>
    <t>PF1102进出口手动阀</t>
  </si>
  <si>
    <t>型号：中线型法兰式手动蝶阀
规格： DN250  P=1.0MPa
介质：净环水，35℃
使用环境：室内
配对法兰、金属垫片及紧固件 
其他要求见设备统一规定</t>
  </si>
  <si>
    <t>转炉低压供水泵P1103</t>
  </si>
  <si>
    <r>
      <rPr>
        <sz val="10"/>
        <rFont val="宋体"/>
        <charset val="134"/>
      </rPr>
      <t>型号：单吸双吸卧式离心泵
工况点：Q=300m3/h，H=62.5m
配套电机：75kW 2960r/min
电机电压380V；IP54；
绝缘：F；</t>
    </r>
  </si>
  <si>
    <t>P1103泵组进水管手动阀</t>
  </si>
  <si>
    <t>型号：中线型法兰式手动蝶阀
规格： DN300  P=1.0MPa
介质：净环水，35℃
使用环境：室内
其他要求见设备统一规定</t>
  </si>
  <si>
    <t>P1103进水管橡胶伸缩节</t>
  </si>
  <si>
    <t>规格：DN300，P=1.0MPa
介质：净环水，35℃
使用环境：室内
配对法兰、金属垫片及紧固件</t>
  </si>
  <si>
    <t>P1103出口钢制伸缩节</t>
  </si>
  <si>
    <t>型号：传力式钢制伸缩节 
规格：DN250，P=1.0MPa
介质：净环水，35℃
使用环境：室内
带限位装置，配对法兰、金属垫片及紧固件
其他要求见设备统一规定</t>
  </si>
  <si>
    <t>P1103出口微阻缓闭止回阀</t>
  </si>
  <si>
    <t>规格：DN250  P＝1.0MPa   
介质：净环水，35℃
使用环境：室内
配对法兰、金属垫片及紧固件  
其他要求见设备统一规定</t>
  </si>
  <si>
    <t>P1103出口电动阀</t>
  </si>
  <si>
    <t>型号：中线型法兰式电动蝶阀
规格： DN250  P=1.0MPa
介质：净环水，35℃
使用环境：室内
配对法兰、金属垫片及紧固件 
其他要求见设备统一规定</t>
  </si>
  <si>
    <t>P1103出口手动阀</t>
  </si>
  <si>
    <t>自清洗管道过滤器PF1103</t>
  </si>
  <si>
    <t xml:space="preserve">型号：吸污式管道过滤器
自动除垢过滤器
过滤水量：330m3/h
承压等级：1.0MPa
过滤精度：0.2mm
进出口管径DN250
其他要求见设备统一规定 </t>
  </si>
  <si>
    <t>PF1103进出口手动阀</t>
  </si>
  <si>
    <t>型号：中线型法兰式手动蝶阀
规格： DN250  P=1.6MPa
介质：净环水，35℃
使用环境：室内
配对法兰、金属垫片及紧固件 
其他要求见设备统一规定</t>
  </si>
  <si>
    <t>LF炉供水泵P1104</t>
  </si>
  <si>
    <t>型号：单级双吸卧式离心泵
工况点：Q=900m3/h，H=84.6m
配套电机：280kW 1450r/min
电机电压10000V；IP54；
绝缘：F；</t>
  </si>
  <si>
    <t>P1104泵组进水管手动阀</t>
  </si>
  <si>
    <t>型号：中线型法兰式手动蝶阀
规格： DN500  P=1.0MPa
介质：净环水，35℃
使用环境：室内
其他要求见设备统一规定</t>
  </si>
  <si>
    <t>P1104进水管橡胶伸缩节</t>
  </si>
  <si>
    <t>规格：DN500，P=1.0MPa
介质：净环水，35℃
使用环境：室内
配对法兰、金属垫片及紧固件</t>
  </si>
  <si>
    <t>P1104出口钢制伸缩节</t>
  </si>
  <si>
    <t>型号：传力式钢制伸缩节 
规格：DN400，P=1.6MPa
介质：净环水，35℃
使用环境：室内
带限位装置，配对法兰、金属垫片及紧固件
其他要求见设备统一规定</t>
  </si>
  <si>
    <t>P1104出口微阻缓闭止回阀</t>
  </si>
  <si>
    <t>规格：DN400  P＝1.6MPa   
介质：净环水，35℃
使用环境：室内
配对法兰、金属垫片及紧固件  
其他要求见设备统一规定</t>
  </si>
  <si>
    <t>P1104出口电动阀</t>
  </si>
  <si>
    <t>型号：中线型法兰式电动蝶阀
规格： DN400  P=1.6MPa
介质：净环水，35℃
使用环境：室内
配对法兰、金属垫片及紧固件 
其他要求见设备统一规定</t>
  </si>
  <si>
    <t>P1104出口手动阀</t>
  </si>
  <si>
    <t>型号：中线型法兰式手动蝶阀
规格： DN400  P=1.6MPa
介质：净环水，35℃
使用环境：室内
配对法兰、金属垫片及紧固件 
其他要求见设备统一规定</t>
  </si>
  <si>
    <t>自清洗管道过滤器PF1104</t>
  </si>
  <si>
    <t xml:space="preserve">型号：吸污式管道过滤器
自动除垢过滤器
过滤水量：900m3/h
承压等级：1.0MPa
过滤精度：0.2mm
进出口管径DN400
其他要求见设备统一规定 </t>
  </si>
  <si>
    <t>PF1104进出口手动阀</t>
  </si>
  <si>
    <t>冶炼旁滤供水泵P1107</t>
  </si>
  <si>
    <r>
      <rPr>
        <sz val="10"/>
        <rFont val="宋体"/>
        <charset val="134"/>
      </rPr>
      <t>型号：单级双吸卧式离心泵
工况点：Q=143m3/h，H=35.3m
配套电机22kW 2960r/min
电机电压380V；IP54；
绝缘：F；</t>
    </r>
  </si>
  <si>
    <t>P1107泵组进水管手动阀</t>
  </si>
  <si>
    <t>型号：中线型法兰式手动蝶阀
规格： DN200  P=1.0MPa
介质：净环水，35℃
使用环境：室内
其他要求见设备统一规定</t>
  </si>
  <si>
    <t>P1107进水管橡胶伸缩节</t>
  </si>
  <si>
    <t>规格：DN200，P=1.0MPa
介质：净环水，35℃
使用环境：室内
配对法兰、金属垫片及紧固件</t>
  </si>
  <si>
    <t>P1107出口钢制伸缩节</t>
  </si>
  <si>
    <t>型号：传力式钢制伸缩节 
规格：DN150，P=1.0MPa
介质：净环水，35℃
使用环境：室内
带限位装置，配对法兰、金属垫片及紧固件
其他要求见设备统一规定</t>
  </si>
  <si>
    <t>P1107出口电动阀</t>
  </si>
  <si>
    <t>型号：中线型法兰式电动蝶阀
规格： DN150  P=1.0MPa
介质：净环水，35℃
使用环境：室内
配对法兰、金属垫片及紧固件 
其他要求见设备统一规定</t>
  </si>
  <si>
    <t>P1107出口微阻缓闭止回阀</t>
  </si>
  <si>
    <t>规格：DN150  P＝1.0MPa   
介质：净环水，35℃
使用环境：室内
配对法兰、金属垫片及紧固件  
其他要求见设备统一规定</t>
  </si>
  <si>
    <t>P1107出口手动阀</t>
  </si>
  <si>
    <t>型号：中线型法兰式手动蝶阀
规格： DN150  P=1.0MPa
介质：净环水，35℃
使用环境：室内
配对法兰、金属垫片及紧固件 
其他要求见设备统一规定</t>
  </si>
  <si>
    <t>冶炼旁通过滤器</t>
  </si>
  <si>
    <t>型号：浅层砂过滤器
规格：单罐子Φ1.4m 3个
单套过滤水量：150 m3/h
滤速：30m/h 
每个罐子进出水管带手动蝶阀</t>
  </si>
  <si>
    <t>RH净环水供水泵</t>
  </si>
  <si>
    <t>型号：单级双吸卧式离心泵
工况点：Q=305m3/h，H=131.6m
配套电机：185kW 
电机电压380V；IP54；
绝缘：F；</t>
  </si>
  <si>
    <t>泵组进水管手动阀</t>
  </si>
  <si>
    <t>进水管橡胶伸缩节</t>
  </si>
  <si>
    <t>出口钢制伸缩节</t>
  </si>
  <si>
    <t>型号：传力式钢制伸缩节 
规格：DN250，P=1.6MPa
介质：净环水，35℃
使用环境：室内
带限位装置，配对法兰、金属垫片及紧固件
其他要求见设备统一规定</t>
  </si>
  <si>
    <t>出口微阻缓闭止回阀</t>
  </si>
  <si>
    <t>规格：DN250  P＝1.6MPa   
介质：净环水，35℃
使用环境：室内
配对法兰、金属垫片及紧固件  
其他要求见设备统一规定</t>
  </si>
  <si>
    <t>出口电动阀</t>
  </si>
  <si>
    <t>型号：中线型法兰式电动蝶阀
规格： DN250  P=1.6MPa
介质：净环水，35℃
使用环境：室内
配对法兰、金属垫片及紧固件 
其他要求见设备统一规定</t>
  </si>
  <si>
    <t>出口手动阀</t>
  </si>
  <si>
    <t>自清洗管道过滤器PF</t>
  </si>
  <si>
    <t xml:space="preserve">型号：吸污式管道过滤器
自动除垢过滤器
过滤水量：305m3/h
承压等级：1.6MPa
过滤精度：0.2mm
进出口管径DN300
其他要求见设备统一规定 </t>
  </si>
  <si>
    <t>进出口手动阀</t>
  </si>
  <si>
    <t>冶炼净环水冷却塔CT1201</t>
  </si>
  <si>
    <t>型号：逆流式钢结构玻璃钢冷却塔
单台处理水量：Q=800m3/h
进水温度50℃，出水温度33℃ 
带油温、振动报警
配套风机及电机：~5m风机，淋水密度≤16m3/m2.电机功率~45kW  380V
其他要求见设备统一规定</t>
  </si>
  <si>
    <t>型号：手动蝶阀
规格： DN450  P=1.0MPa
介质：净环水，35℃
使用环境：室内
其他要求见设备统一规定</t>
  </si>
  <si>
    <t>型号：手动蝶阀
规格： DN500  P=1.0MPa
介质：净环水，35℃
使用环境：室内
其他要求见设备统一规定</t>
  </si>
  <si>
    <t xml:space="preserve">净环水水池补水电动阀
</t>
  </si>
  <si>
    <t>型号：中线型法兰式电动蝶阀
规格： DN200  P=1.0MPa
介质：工业新水，35℃
使用环境：室内
配对法兰、金属垫片及紧固件 
其他要求见设备统一规定</t>
  </si>
  <si>
    <t xml:space="preserve">净环水水池补水手动阀
</t>
  </si>
  <si>
    <t>型号：中线型法兰式手动蝶阀
规格： DN200  P=1.0MPa
介质：工业新水，35℃
使用环境：室内
配对法兰、金属垫片及紧固件 
其他要求见设备统一规定</t>
  </si>
  <si>
    <t>型号：中线型法兰式手动蝶阀
规格： DN300  P=1.0MPa
介质：工业新水，35℃
使用环境：室内
配对法兰、金属垫片及紧固件 
其他要求见设备统一规定</t>
  </si>
  <si>
    <t xml:space="preserve">净环水系统排污手动阀
</t>
  </si>
  <si>
    <t>型号：中线型法兰式手动蝶阀
规格： DN150  P=1.0MPa
介质：净环水，35℃
使用环境：室外
配对法兰、金属垫片及紧固件 
其他要求见设备统一规定</t>
  </si>
  <si>
    <t xml:space="preserve">净环水系统排污电动阀
</t>
  </si>
  <si>
    <t>型号：中线型法兰式电动蝶阀
规格： DN150  P=1.0MPa
介质：净环水，35℃
使用环境：室外
配对法兰、金属垫片及紧固件 
其他要求见设备统一规定</t>
  </si>
  <si>
    <t xml:space="preserve">净环水水池放空手动阀
</t>
  </si>
  <si>
    <t>型号：弹性座封闸阀
规格：DN300 P=1.0MPa
介质：工业新水
使用环境：室外</t>
  </si>
  <si>
    <t>蒸发塔喷淋水供水泵组</t>
  </si>
  <si>
    <t>型号：单级双吸卧式离心泵
工况点：Q=65m3/h，H=190m
配套变频电机75kW 2960r/min
电机电压380V；IP54；
绝缘：F；</t>
  </si>
  <si>
    <t>型号：中线型法兰式手动蝶阀
规格： DN150  P=1.0MPa
介质：净环水，35℃
使用环境：室内
其他要求见设备统一规定</t>
  </si>
  <si>
    <t>规格：DN150，P=1.0MPa
介质：净环水，35℃
使用环境：室内
配对法兰、金属垫片及紧固件</t>
  </si>
  <si>
    <t>型号：传力式钢制伸缩节 
规格：DN100，P=2.5MPa
介质：净环水，35℃
使用环境：室内
带限位装置，配对法兰、金属垫片及紧固件
其他要求见设备统一规定</t>
  </si>
  <si>
    <t>规格：DN100  P＝2.5MPa   
介质：净环水，35℃
使用环境：室内
配对法兰、金属垫片及紧固件  
其他要求见设备统一规定</t>
  </si>
  <si>
    <t>型号：中线型法兰式电动蝶阀
规格： DN100  P=2.5MPa
介质：净环水，35℃
使用环境：室内
配对法兰、金属垫片及紧固件 
其他要求见设备统一规定</t>
  </si>
  <si>
    <t>型号：中线型法兰式手动蝶阀
规格： DN100  P=2.5MPa
介质：净环水，35℃
使用环境：室内
配对法兰、金属垫片及紧固件 
其他要求见设备统一规定</t>
  </si>
  <si>
    <t>板换冷媒水系统</t>
  </si>
  <si>
    <t>冷媒水供水泵P1106</t>
  </si>
  <si>
    <t>型号：单级双吸卧式离心泵
工况点：Q=414m3/h，H=22m
配套电机：75kW 
电机电压380V；IP54；
绝缘：F；</t>
  </si>
  <si>
    <t>型号：中线型法兰式手动蝶阀
规格： DN350  P=1.0MPa
介质：净环水，35℃
使用环境：室内
其他要求见设备统一规定</t>
  </si>
  <si>
    <t>规格：DN350，P=1.0MPa
介质：净环水，35℃
使用环境：室内
配对法兰、金属垫片及紧固件</t>
  </si>
  <si>
    <t>型号：传力式钢制伸缩节 
规格：DN300，P=1.0MPa
介质：净环水，35℃
使用环境：室内
带限位装置，配对法兰、金属垫片及紧固件
其他要求见设备统一规定</t>
  </si>
  <si>
    <t>规格：DN300  P＝1.0MPa   
介质：净环水，35℃
使用环境：室内
配对法兰、金属垫片及紧固件  
其他要求见设备统一规定</t>
  </si>
  <si>
    <t>型号：中线型法兰式电动蝶阀
规格： DN300  P=1.0MPa
介质：净环水，35℃
使用环境：室内
配对法兰、金属垫片及紧固件 
其他要求见设备统一规定</t>
  </si>
  <si>
    <t>型号：中线型法兰式手动蝶阀
规格： DN300  P=1.0MPa
介质：净环水，35℃
使用环境：室内
配对法兰、金属垫片及紧固件 
其他要求见设备统一规定</t>
  </si>
  <si>
    <t>自清洗管道过滤器</t>
  </si>
  <si>
    <t xml:space="preserve">型号：吸污式管道过滤器
自动除垢过滤器
过滤水量：414m3/h
承压等级：1.0MPa
过滤精度：0.2mm
进出口管径DN450
其他要求见设备统一规定 </t>
  </si>
  <si>
    <t>型号：中线型法兰式手动蝶阀
规格： DN300  P=1.6MPa
介质：净环水，35℃
使用环境：室内
配对法兰、金属垫片及紧固件 
其他要求见设备统一规定</t>
  </si>
  <si>
    <t>板换旁通过滤器</t>
  </si>
  <si>
    <t>型号：浅层砂过滤器
规格：单罐子Φ1.4m 1个
单套过滤水量：50 m3/h
滤速：30m/h 
每个罐子进出水管带手动蝶阀</t>
  </si>
  <si>
    <t>板换冷却塔CT1202</t>
  </si>
  <si>
    <t>型号：逆流式钢结构玻璃钢冷却塔
单台处理水量：Q=500m3/h
进水温度50℃，出水温度33℃ 
带油温、振动报警
配套风机及电机：~4m风机，淋水密度≤16m3/m2.电机功率~37kW  380V
其他要求见设备统一规定</t>
  </si>
  <si>
    <t>CT1202进水手动阀</t>
  </si>
  <si>
    <t>型号：手动蝶阀
规格： DN300  P=1.0MPa
介质：净环水，35℃
使用环境：室内
其他要求见设备统一规定</t>
  </si>
  <si>
    <t>CT1202超越管手动阀</t>
  </si>
  <si>
    <t>型号：手动蝶阀
规格： DN250  P=1.0MPa
介质：净环水，35℃
使用环境：室内
其他要求见设备统一规定</t>
  </si>
  <si>
    <t xml:space="preserve">板换冷媒水池补水电动阀
</t>
  </si>
  <si>
    <t>型号：中线型法兰式电动蝶阀
规格： DN100  P=1.0MPa
介质：工业新水，35℃
使用环境：室内
配对法兰、金属垫片及紧固件 
其他要求见设备统一规定</t>
  </si>
  <si>
    <t xml:space="preserve">板换冷媒水池补水手动阀
</t>
  </si>
  <si>
    <t>型号：中线型法兰式手动蝶阀
规格： DN100  P=1.0MPa
介质：工业新水，35℃
使用环境：室内
配对法兰、金属垫片及紧固件 
其他要求见设备统一规定</t>
  </si>
  <si>
    <t xml:space="preserve">冷媒水系统排污手动阀
</t>
  </si>
  <si>
    <t>型号：中线型法兰式手动蝶阀
规格： DN50  P=1.0MPa
介质：净环水，35℃
使用环境：室外
配对法兰、金属垫片及紧固件 
其他要求见设备统一规定</t>
  </si>
  <si>
    <t xml:space="preserve">冷媒水系统排污电动阀
</t>
  </si>
  <si>
    <t>型号：中线型法兰式电动蝶阀
规格： DN50  P=1.0MPa
介质：净环水，35℃
使用环境：室外
配对法兰、金属垫片及紧固件 
其他要求见设备统一规定</t>
  </si>
  <si>
    <t>板换冷媒水池放空手动阀</t>
  </si>
  <si>
    <t>安全供水系统</t>
  </si>
  <si>
    <t>安全水塔进水管手动阀</t>
  </si>
  <si>
    <t>型号：三偏心法兰式金属硬密封手动蝶阀
规格： DN200  P=1.0MPa
介质：软水，35℃
使用环境：室内
其他要求见设备统一规定</t>
  </si>
  <si>
    <t>安全水塔进水管长流水手动阀</t>
  </si>
  <si>
    <t>型号：三偏心法兰式金属硬密封手动蝶阀
规格： DN32  P=1.0MPa
介质：软水，35℃
使用环境：室内
其他要求见设备统一规定</t>
  </si>
  <si>
    <t>安全水塔放空手动阀</t>
  </si>
  <si>
    <t>型号：三偏心法兰式金属硬密封手动蝶阀
规格： DN300  P=1.0MPa
介质：软水，35℃
使用环境：室内
其他要求见设备统一规定</t>
  </si>
  <si>
    <t>LF炉安全水供水管手动阀</t>
  </si>
  <si>
    <t>型号：三偏心法兰式金属硬密封手动蝶阀
规格： DN250  P=1.0MPa
介质：软水，35℃
使用环境：室内
其他要求见设备统一规定</t>
  </si>
  <si>
    <t>LF炉安全水供水管电动阀</t>
  </si>
  <si>
    <t>型号：三偏心法兰式金属硬密封电动蝶阀
规格： DN250  P=1.0MPa
介质：软水，35℃
使用环境：室内
其他要求见设备统一规定</t>
  </si>
  <si>
    <t>LF炉安全水供水管止回阀</t>
  </si>
  <si>
    <t>结构：缓闭止回阀
规格：DN250  P＝1.0MPa  
介质条件：软水
使用环境：室内
材质：阀体、阀瓣：球铁，轴：2Cr13  
阀体：WCB；
阀板：WCB；
带配对法兰及紧固件</t>
  </si>
  <si>
    <t>RH安全水供水管手动阀</t>
  </si>
  <si>
    <t>RH安全水供水管电动阀</t>
  </si>
  <si>
    <t>RH安全水供水管止回阀</t>
  </si>
  <si>
    <t>D530*10</t>
  </si>
  <si>
    <t>D480*10</t>
  </si>
  <si>
    <t>UPVC加药管</t>
  </si>
  <si>
    <t>dn25</t>
  </si>
  <si>
    <t>一次除尘</t>
  </si>
  <si>
    <t>转炉煤气冷却器供水泵P1301</t>
  </si>
  <si>
    <t>型号：单级双吸卧式离心泵
工况点：Q=400m3/h，H=74.4m
配套电机：132kW 2960r/min
电机电压380V；IP54；
绝缘：F；</t>
  </si>
  <si>
    <t>P1301泵组进水管手动阀</t>
  </si>
  <si>
    <t>型号：中线型法兰式手动蝶阀
规格： DN300  P=1.0MPa
介质：浊环水，35℃
使用环境：室内
其他要求见设备统一规定</t>
  </si>
  <si>
    <t>P1301泵组进水管橡胶伸缩节</t>
  </si>
  <si>
    <t>规格：DN300，P=1.0MPa
介质：浊环水，35℃
使用环境：室内
配对法兰、金属垫片及紧固件</t>
  </si>
  <si>
    <t>P1301泵组出口钢制伸缩节</t>
  </si>
  <si>
    <t>型号：传力式钢制伸缩节 
规格：DN250，P=1.0MPa
介质：浊环水，35℃
使用环境：室内
带限位装置，配对法兰、金属垫片及紧固件
其他要求见设备统一规定</t>
  </si>
  <si>
    <t>P1301泵组出口微阻缓闭止回阀</t>
  </si>
  <si>
    <t>规格：DN250，P=1.0MPa 
介质：浊环水，35℃
使用环境：室内
配对法兰、金属垫片及紧固件  
其他要求见设备统一规定</t>
  </si>
  <si>
    <t>P1301泵组出口电动阀</t>
  </si>
  <si>
    <t>型号：中线型法兰式电动蝶阀
规格：DN250，P=1.0MPa
介质：浊环水，35℃
使用环境：室内
配对法兰、金属垫片及紧固件 
其他要求见设备统一规定</t>
  </si>
  <si>
    <t>P1301泵组出口手动阀</t>
  </si>
  <si>
    <t>型号：中线型法兰式手动蝶阀
规格：DN250，P=1.0MPa
介质：浊环水，35℃
使用环境：室内
配对法兰、金属垫片及紧固件 
其他要求见设备统一规定</t>
  </si>
  <si>
    <t>自清洗管道过滤器PF1301</t>
  </si>
  <si>
    <t xml:space="preserve">型号：吸污式管道过滤器
自动除垢过滤器
过滤水量：400m3/h
承压等级：1.0MPa
过滤精度：0.2mm
进出口管径DN250
其他要求见设备统一规定 </t>
  </si>
  <si>
    <t>PF1301进出口手动阀</t>
  </si>
  <si>
    <t>上塔提升泵P1302</t>
  </si>
  <si>
    <t>型号：单级双吸卧式离心泵
工况点：Q=420m3/h，H=28.0m
配套电机：55kW 2960r/min
电机电压380V；IP54；
绝缘：F；</t>
  </si>
  <si>
    <t>P1302泵组进水管手动阀</t>
  </si>
  <si>
    <t>型号：中线型法兰式手动蝶阀
规格： DN350  P=1.0MPa
介质：浊环水，35℃
使用环境：室内
其他要求见设备统一规定</t>
  </si>
  <si>
    <t>P1302泵组进水管橡胶伸缩节</t>
  </si>
  <si>
    <t>规格：DN350，P=1.0MPa
介质：浊环水，35℃
使用环境：室内
配对法兰、金属垫片及紧固件</t>
  </si>
  <si>
    <t>P1302泵组出口钢制伸缩节</t>
  </si>
  <si>
    <t>型号：传力式钢制伸缩节 
规格：DN300，P=1.0MPa
介质：浊环水，35℃
使用环境：室内
带限位装置，配对法兰、金属垫片及紧固件
其他要求见设备统一规定</t>
  </si>
  <si>
    <t>P1302泵组出口微阻缓闭止回阀</t>
  </si>
  <si>
    <t>规格：DN300，P=1.0MPa 
介质：浊环水，35℃
使用环境：室内
配对法兰、金属垫片及紧固件  
其他要求见设备统一规定</t>
  </si>
  <si>
    <t>P1302泵组出口电动阀</t>
  </si>
  <si>
    <t>型号：中线型法兰式电动蝶阀
规格：DN300，P=1.0MPa
介质：浊环水，35℃
使用环境：室内
配对法兰、金属垫片及紧固件 
其他要求见设备统一规定</t>
  </si>
  <si>
    <t>P1302泵组出口手动阀</t>
  </si>
  <si>
    <t>型号：中线型法兰式手动蝶阀
规格：DN300，P=1.0MPa
介质：浊环水，35℃
使用环境：室内
配对法兰、金属垫片及紧固件 
其他要求见设备统一规定</t>
  </si>
  <si>
    <t>浅层砂过滤器</t>
  </si>
  <si>
    <t>型号：浅层砂过滤器
规格：单罐子φ1.5 9个
单套过滤水量：400m³/h
滤速：32m/h
罐体材质：碳钢防腐处理
滤料：石英砂</t>
  </si>
  <si>
    <t>一次除尘冷却塔CT1301</t>
  </si>
  <si>
    <t>型号：钢结构玻璃钢逆流冷却塔
单台处理水量：Q=400m3/h
进水温度67℃，出水温度35℃ 
风筒：玻璃钢风筒   
填料：网格填料
玻璃钢围板
配套风机及电机：~5m风机，淋水密度≤13m3/m2.电机功率~45kW  380V
换热形式：逆流抽风式；
框架：碳钢+防腐处理；
维护面板：玻璃钢；
风筒：玻璃钢；
风机：铝合金或玻璃钢，单速电机，立式；
塔内支吊架：不锈钢；
填料：由阻燃PVC材料及添加剂制成， 湿球温度：18.9℃
所有电机按照节能电机进行选型，不低于YX3系列(能效等级不低于一级)，且必须符合国家相关规定</t>
  </si>
  <si>
    <t>CT1301进水手动阀</t>
  </si>
  <si>
    <t>型号：中线型法兰式手动蝶阀
规格： DN300  P=1.0MPa
介质：浊环水，67℃
使用环境：室外
其他要求见设备统一规定</t>
  </si>
  <si>
    <t>CT301超越管手动阀</t>
  </si>
  <si>
    <t>型号：中线型法兰式手动蝶阀
规格： DN400  P=1.0MPa
介质：浊环水，67℃
使用环境：室外
其他要求见设备统一规定</t>
  </si>
  <si>
    <t>加药装置</t>
  </si>
  <si>
    <t>加药设备
药剂：杀菌灭藻剂、缓蚀阻垢剂
每套含：加药罐1个：V=3m3 ，φ1500，H=1.8m；搅拌机1台：N=1.5kW，U=380V。罐体材质：PE。
计量泵2台
计量泵性能：Q=270L/h  H=40m
单台设备包括：加药罐、搅拌机、计量泵、Y型过滤器及装置内部管路阀门等；2套共用控制柜、钢梯及平台等，机电一体品。
所有电机按照节能电机进行选型，不低于YX3系列(能效等级不低于一级)，且必须符合国家相关规定</t>
  </si>
  <si>
    <t>一次除尘泵房吊车</t>
  </si>
  <si>
    <t>型号：电动单梁悬挂式起重机
起重量：3t  地面操作
梁长：  约7.5m
提升高度：7m
配套电机：11kW  380V
所有电机按照节能电机进行选型，不低于YX3系列(能效等级不低于一级)，且必须符合国家相关规定</t>
  </si>
  <si>
    <t xml:space="preserve">一次除尘补水手动阀
</t>
  </si>
  <si>
    <t>型号：中线型法兰式手动蝶阀
规格： DN250  P=1.0MPa
介质：工业新水，35℃
使用环境：室内
配对法兰、金属垫片及紧固件 
其他要求见设备统一规定</t>
  </si>
  <si>
    <t xml:space="preserve">一次除尘常补水手动阀
</t>
  </si>
  <si>
    <t>型号：中线型法兰式手动蝶阀
规格： DN150  P=1.0MPa
介质：工业新水，35℃
使用环境：室内
配对法兰、金属垫片及紧固件 
其他要求见设备统一规定</t>
  </si>
  <si>
    <t>一次除尘常补水电动阀</t>
  </si>
  <si>
    <t>型号：中线型法兰式电动蝶阀
规格： DN150  P=1.0MPa
介质：工业新水，35℃
使用环境：室内
配对法兰、金属垫片及紧固件 
其他要求见设备统一规定</t>
  </si>
  <si>
    <t xml:space="preserve">一次除尘水池放空手动阀
</t>
  </si>
  <si>
    <t>泥浆池搅拌机</t>
  </si>
  <si>
    <t>型号：搅拌机
形式：方翼轴流
叶轮直径；Φ2m,叶轮双层布置
轴长4.2m
设备本体：碳钢防腐；
紧固件：不锈钢；
配套电机：N=7.5kW  V=380V
池深4.2m
所有电机按照节能电机进行选型，不低于YX3系列(能效等级不低于一级)，且必须符合国家相关规定</t>
  </si>
  <si>
    <t>泥浆泵</t>
  </si>
  <si>
    <t>工况点：Q=40m3/h，H=28m；
配套电机：N=11kW，380V；
绝缘等级：F级；防护等级：IP54；
介质条件：浅层砂过滤器排污水，水温≤45℃；
使用环境：室内</t>
  </si>
  <si>
    <t>泵组出口微阻缓闭止回阀</t>
  </si>
  <si>
    <t>规格：DN100，P=1.0MPa 
介质：浊环水，35℃
使用环境：室内
配对法兰、金属垫片及紧固件  
其他要求见设备统一规定</t>
  </si>
  <si>
    <t>泵组出口手动阀</t>
  </si>
  <si>
    <t>型号：中线型法兰式手动蝶阀
规格：DN100，P=1.0MPa
介质：浊环水，35℃
使用环境：室内
配对法兰、金属垫片及紧固件 
其他要求见设备统一规定</t>
  </si>
  <si>
    <t>一次除尘高速砂过滤器</t>
  </si>
  <si>
    <t>形式：高速砂过滤器
规格：φ4.0m
过滤水量：总过滤水量500m3/h。
滤料为无烟煤+石英砂
机电一体品
配套储气罐
配带进出口及反洗电动阀门、手动阀门及法兰、螺栓等连接件；
反洗进气、排气等启动及手动阀门
带爬梯，检修走道等
安装方式：支腿式
浊环进水SS≤80mg/L；出水SS≤20mg/L；进水含油≤10mg/L；出水含油≤5mg/L。</t>
  </si>
  <si>
    <t>过滤器反洗泵
P2304</t>
  </si>
  <si>
    <t>型号：单级双吸卧式离心泵
工况点：Q=502m3/h，H=30m
水泵汽蚀余量≤6m。
配套电机：~75kW 1480r/min
电机电压380V；IP54；
绝缘等级：F；
油脂润滑
带配对法兰、金属垫片及紧固件
配整体钢制底座、地脚螺栓
带手动排气阀及配管</t>
  </si>
  <si>
    <t>P2304泵组进水管手动阀</t>
  </si>
  <si>
    <t>规格：DN360，P=1.0MPa
介质：浊环水，35℃
使用环境：室内
配对法兰、金属垫片及紧固件</t>
  </si>
  <si>
    <t>规格：DN300  P＝1.0MPa   
介质：浊环水，35℃
使用环境：室内
配对法兰、金属垫片及紧固件  
其他要求见设备统一规定</t>
  </si>
  <si>
    <t>型号：中线型法兰式电动蝶阀
规格： DN300  P=1.6MPa
介质：浊环水，35℃
使用环境：室内
配对法兰、金属垫片及紧固件 
其他要求见设备统一规定</t>
  </si>
  <si>
    <t>型号：中线型法兰式手动蝶阀
规格： DN300  P=1.0MPa
介质：浊环水，35℃
使用环境：室内
配对法兰、金属垫片及紧固件 
其他要求见设备统一规定</t>
  </si>
  <si>
    <t>消防水系统</t>
  </si>
  <si>
    <t>消火栓供水泵配套设备</t>
  </si>
  <si>
    <t>消火栓供水泵：2台
消火栓稳压罐：1台
稳压泵：2台
自动控制系统：1套</t>
  </si>
  <si>
    <t>消火栓供水泵</t>
  </si>
  <si>
    <t>型号：单级双吸立式离心泵
工况点：Q=25L/s，H=75m
配套电机：~37kW 
电机电压380V；IP54；
绝缘：F；
泵壳QT500，叶轮2Cr13，轴2Cr13调质处理，轴承：滚动轴承国产哈瓦洛轴承。轴套：不锈钢304  
油脂润滑
配水泵控制箱、带配对法兰、金属垫片及紧固件、整体钢制底座、地脚螺栓
带手动排气阀及配管
所有电机按照节能电机进行选型，不低于YX3系列(能效等级不低于一级)，且必须符合国家相关规定</t>
  </si>
  <si>
    <t>消火栓稳压罐</t>
  </si>
  <si>
    <t>气压罐：
设计压力: 1.6MPa
有效调节容积: 0.45m³</t>
  </si>
  <si>
    <t>稳压泵</t>
  </si>
  <si>
    <t>型式:单级单吸立式离心泵
工况点：Q=5L/s，H=80m
配套电机：7.5kW
电机电压380V；IP54；
绝缘：F；
泵壳QT500，叶轮2Cr13，轴2Cr13调质处理，轴承：滚动轴承国产哈瓦洛轴承。轴套：不锈钢304  
油脂润滑
配水泵控制箱、按规范配套水泵进出口阀门附件、配对法兰、金属垫片及紧固件、整体钢制底座、地脚螺栓
带手动排气阀及配管
所有电机按照节能电机进行选型，不低于YX3系列(能效等级不低于一级)，且必须符合国家相关规定</t>
  </si>
  <si>
    <t>消防泵进水管手动阀</t>
  </si>
  <si>
    <t>型号：中线型法兰式手动蝶阀
规格： DN200  P=1.0MPa
介质：净环水，35℃
带自锁装置
使用环境：室内
其他要求见设备统一规定</t>
  </si>
  <si>
    <t>消防泵进水管钢制伸缩节</t>
  </si>
  <si>
    <t>型号：传力式钢制伸缩节
规格：DN200，P=1.0MPa
介质：净环水
使用环境：室内
带限位装置，配对法兰、金属垫片及紧固件</t>
  </si>
  <si>
    <t>消防泵出口钢制伸缩节</t>
  </si>
  <si>
    <t>型号：传力式钢制伸缩节 
规格：DN150，P=1.0MPa
介质：生活水
使用环境：室内
带限位装置，配对法兰、金属垫片及紧固件</t>
  </si>
  <si>
    <t>消防泵出口止回阀</t>
  </si>
  <si>
    <t>型号：中线型法兰式手动蝶阀
规格： DN150  P=1.0MPa
介质：净环水，35℃
带自锁装置
使用环境：室内
其他要求见设备统一规定</t>
  </si>
  <si>
    <t xml:space="preserve">消防水池补水手动阀
</t>
  </si>
  <si>
    <t xml:space="preserve">消防水池放空手动阀
</t>
  </si>
  <si>
    <t>消防泵房吊车</t>
  </si>
  <si>
    <t>型号：电动单梁悬挂吊
起重量：3t  地面操作
提升高度：10m
配套电机：7.5kW  380V 
所有电机按照节能电机进行选型，不低于YX3系列(能效等级不低于一级)，且必须符合国家相关规定</t>
  </si>
  <si>
    <t>水喷雾供水泵配套设备</t>
  </si>
  <si>
    <t>水喷雾供水泵：2台
消火栓稳压罐：1台
稳压泵：2台
自动控制系统：1套</t>
  </si>
  <si>
    <t>水喷雾供水泵</t>
  </si>
  <si>
    <t>型号：单级双吸立式离心泵
工况点：Q=70L/s，H=90m
配套电机：~110kW 2960r/min
电机电压380V；IP54；
绝缘：F；
泵壳QT500，叶轮2Cr13，轴2Cr13调质处理，轴承：滚动轴承国产哈瓦洛轴承。轴套：不锈钢304  
油脂润滑
配水泵控制箱、带配对法兰、金属垫片及紧固件、整体钢制底座、地脚螺栓
带手动排气阀及配管
所有电机按照节能电机进行选型，不低于YX3系列(能效等级不低于一级)，且必须符合国家相关规定</t>
  </si>
  <si>
    <t>水喷雾稳压罐</t>
  </si>
  <si>
    <t>型式:单级单吸立式离心泵
工况点：Q=1.1L/s，H=100m
配套电机：3kW 2960r/min
电机电压380V；IP54；
绝缘：F；
泵壳QT500，叶轮2Cr13，轴2Cr13调质处理，轴承：滚动轴承国产哈瓦洛轴承。轴套：不锈钢304  
油脂润滑
配水泵控制箱、按规范配套水泵进出口阀门附件、配对法兰、金属垫片及紧固件、整体钢制底座、地脚螺栓
带手动排气阀及配管
所有电机按照节能电机进行选型，不低于YX3系列(能效等级不低于一级)，且必须符合国家相关规定</t>
  </si>
  <si>
    <t>水喷雾供水泵进水管手动阀</t>
  </si>
  <si>
    <t>型号：中线型法兰式手动蝶阀
规格： DN300  P=1.0MPa
介质：净环水，35℃
带自锁装置
使用环境：室内
其他要求见设备统一规定</t>
  </si>
  <si>
    <t>水喷雾供水泵进水管钢制伸缩节</t>
  </si>
  <si>
    <t>型号：传力式钢制伸缩节
规格：DN300，P=1.0MPa
介质：净环水，35℃
使用环境：室内
带限位装置，配对法兰、金属垫片及紧固件</t>
  </si>
  <si>
    <t>水喷雾供水泵出口钢制伸缩节</t>
  </si>
  <si>
    <t>型号：传力式钢制伸缩节 
规格：DN250，P=1.6MPa
介质：生活水
使用环境：室内
带限位装置，配对法兰、金属垫片及紧固件</t>
  </si>
  <si>
    <t>水喷雾供水泵出口止回阀</t>
  </si>
  <si>
    <t xml:space="preserve">水喷雾供水泵出口手动阀
</t>
  </si>
  <si>
    <t>型号：中线型法兰式手动蝶阀
规格： DN250  P=1.6MPa
介质：净环水，35℃
带自锁装置
使用环境：室内
其他要求见设备统一规定</t>
  </si>
  <si>
    <t>灭火分区</t>
  </si>
  <si>
    <t>含雨淋报警阀组、配套管道等</t>
  </si>
  <si>
    <t>LF炉灭火分区</t>
  </si>
  <si>
    <t>高位消防水箱</t>
  </si>
  <si>
    <t>容积≥12m3</t>
  </si>
  <si>
    <t>车间外线</t>
  </si>
  <si>
    <t>洗车台</t>
  </si>
  <si>
    <t>D108*4</t>
  </si>
  <si>
    <t>阀门井</t>
  </si>
  <si>
    <t>尺寸1300×1300</t>
  </si>
  <si>
    <t>化粪池</t>
  </si>
  <si>
    <t>2#混凝土化粪池，有覆土</t>
  </si>
  <si>
    <t>室外消火栓</t>
  </si>
  <si>
    <t>SAW100/65,含消火栓、手动阀门、阀门井,减压设施等配套设施</t>
  </si>
  <si>
    <t>t</t>
  </si>
  <si>
    <t>转炉烟气干法除尘净化回收系统</t>
  </si>
  <si>
    <t>蒸发冷却器及粗灰系统</t>
  </si>
  <si>
    <t>2153-1</t>
  </si>
  <si>
    <t>入口补偿器</t>
  </si>
  <si>
    <t>金属补偿器DN5300,主要材质：不锈钢、硅橡胶。不锈钢材质质量约2100kg</t>
  </si>
  <si>
    <t>蒸发冷却器本体</t>
  </si>
  <si>
    <t>非标，筒体直径6.2m，高约23.5m，带各层检修平台、托座等15CrMo约40%，Q245R约60%)。</t>
  </si>
  <si>
    <t>香蕉弯</t>
  </si>
  <si>
    <t>非标，材质：Q245R</t>
  </si>
  <si>
    <t>喷枪</t>
  </si>
  <si>
    <t>双介质喷枪，水量：4t/h，蒸汽：0.45t/h，带喷嘴及安装连接件等附件</t>
  </si>
  <si>
    <t>水的高压软管</t>
  </si>
  <si>
    <t>DN32，PN16，长度约2m。丝扣，介质：水</t>
  </si>
  <si>
    <t>蒸汽的高压软管</t>
  </si>
  <si>
    <t>DN40，PN25，长度约2m。法兰连接，介质：蒸汽，耐温：300度</t>
  </si>
  <si>
    <t>手动球阀DN32</t>
  </si>
  <si>
    <t>DN32，PN16，法兰连接介质：水</t>
  </si>
  <si>
    <t>手动球阀DN40</t>
  </si>
  <si>
    <t>DN40，PN25，法兰连接，介质：蒸汽，耐温：300度</t>
  </si>
  <si>
    <t>手动球阀DN125</t>
  </si>
  <si>
    <t>DN125，PN16，法兰连接，介质：水</t>
  </si>
  <si>
    <t>1.10</t>
  </si>
  <si>
    <t>手动球阀DN50</t>
  </si>
  <si>
    <t>DN50，PN25，法兰连接，介质：蒸汽，耐温：300度</t>
  </si>
  <si>
    <t>手动球阀DN100</t>
  </si>
  <si>
    <t>DN100，PN25，法兰连接，介质：蒸汽，耐温：300度</t>
  </si>
  <si>
    <t>蒸发冷却器下部内置链式输送机</t>
  </si>
  <si>
    <t>刮板输灰机，长9m，输送量15m³/h，7.5kW，设计耐温：400℃，带空气炮，不含机旁操作箱。</t>
  </si>
  <si>
    <t>气动插板阀</t>
  </si>
  <si>
    <t>气动驱动，500×500，不含机旁操作箱，含气源三联件</t>
  </si>
  <si>
    <t>气动双翻板阀</t>
  </si>
  <si>
    <t>粗灰灰仓</t>
  </si>
  <si>
    <t>容积25m³,带仓顶除尘器，各仪表检测装置，振打装置，卸灰阀、爬梯，称重装置。不含机旁操作箱。</t>
  </si>
  <si>
    <t>斗提机</t>
  </si>
  <si>
    <t>输送量20m³/h,，高23m，设计耐温：400℃，板链式，不含机旁操作箱</t>
  </si>
  <si>
    <t>粗灰中间仓</t>
  </si>
  <si>
    <t>容积1.5m³,材质Q235B，本体重量约1.9t。带DN350卸灰气动插板阀1台、DN200事故卸灰口及手动插板阀1套，带振打电机1台，称重装置1套。</t>
  </si>
  <si>
    <t>粗灰链式输送机</t>
  </si>
  <si>
    <t>电除尘器及细灰系统</t>
  </si>
  <si>
    <t>静电除尘器本体</t>
  </si>
  <si>
    <t>筒体直径13.5m，长36m，4电场，B8极线材质为00Cr12，6mm厚，ZT24极板材质为00Cr12,2mm。含各层检修平台，含腹部刮板、含筒体内部所有设施，含振打装置、含剖分式自润滑轴承，含设备照明设施及照明箱，含外部塔楼。不含细灰输灰设施，不含泄爆阀不含机旁操作箱，不含高压电源装置、不含PLC柜，不含电缆。</t>
  </si>
  <si>
    <t>电除尘器高压电源</t>
  </si>
  <si>
    <t>电除尘器用高压电源，带变压器、高压控制柜、通讯电缆，阻尼电阻和连接铜管，三相IGBT电源，3.5A，二次侧80kV。</t>
  </si>
  <si>
    <t>泄爆阀</t>
  </si>
  <si>
    <t>DN1200，三级泄压，起跳压力5000Pa，安装位置：电除尘器</t>
  </si>
  <si>
    <t>集合链式输送机</t>
  </si>
  <si>
    <t>刮板机，宽640mm，长15m，输送量20m³/h,，设计耐温：400℃，含机旁操作箱</t>
  </si>
  <si>
    <t>输送量20m³/h,，高23m，设计耐温：400℃，板链式，含机旁操作箱</t>
  </si>
  <si>
    <t>细灰仓</t>
  </si>
  <si>
    <t>容积80m³，带仓顶除尘器，设计耐温：400℃，各仪表检测装置，振打装置，卸灰阀、爬梯，称重装置。不含机旁操作箱。含真空罐车接口装置。</t>
  </si>
  <si>
    <t>气力输送装置</t>
  </si>
  <si>
    <t>集合链式输送机至含至细灰仓气力输送装置，含整套气力输送系统</t>
  </si>
  <si>
    <t>2.10</t>
  </si>
  <si>
    <t>电动插板阀</t>
  </si>
  <si>
    <t>DN2600,敞开式，压力0.01MPa,电动，不含机旁操作箱，防爆</t>
  </si>
  <si>
    <t>风机系统</t>
  </si>
  <si>
    <t>轴流风机</t>
  </si>
  <si>
    <t>轴流式，户外型，L=166023Nm3/h，150℃，H=9500Pa ，1850r/min，带轴承冷却风机，带联轴器、测振、测温、氮封装置。带机旁操作箱。</t>
  </si>
  <si>
    <t>防爆电机</t>
  </si>
  <si>
    <t>隔爆户外型，变频电机，N=1800kW，10KV，额定转速1500r/min.运行频率20~65Hz，IP55。</t>
  </si>
  <si>
    <t>干式煤气消声器</t>
  </si>
  <si>
    <t>直径：4000mm，长度2500mm，片式结构。消声值：32dB（A）</t>
  </si>
  <si>
    <t>电动蝶阀</t>
  </si>
  <si>
    <t>DN2600,压力0.01MPa,电动，不含机旁操作箱，防爆</t>
  </si>
  <si>
    <t>DN2600,全密封式，压力0.01MPa,电动，不含机旁操作箱，防爆</t>
  </si>
  <si>
    <t>回收放散系统</t>
  </si>
  <si>
    <t>回收杯阀</t>
  </si>
  <si>
    <t>DN2600，含液压驱动装置,不含机旁操作箱，防爆</t>
  </si>
  <si>
    <t>放散杯阀</t>
  </si>
  <si>
    <t>点火装置</t>
  </si>
  <si>
    <t>DN2600，配置点火器、测温、分气缸、控制阀等，含PLC柜等，其中2根点火枪为直燃式点火伴烧器(带催化蓄热燃烧)，其中1根点火枪为辅助气源式点火伴烧器。</t>
  </si>
  <si>
    <t>排水水封</t>
  </si>
  <si>
    <t>引设喷嘴</t>
  </si>
  <si>
    <t>DN350 不锈钢304</t>
  </si>
  <si>
    <t>高温防爆金属布袋除尘器</t>
  </si>
  <si>
    <t>处理流量：37.6万m3/h，过滤面积：8824m2，滤料材质：耐200℃高温金属滤料（短时间230℃，瞬时600℃），滤袋规格：Φ160mm×6m，圆筒数量3个，入口含尘浓度：200mg/Nm3，出口含尘浓度：10mg/Nm3。为机电一体品，带PLC柜、MCC柜、电源进线柜等。含至细灰仓气力输送装置。每个仓室设置高低料位计，仓室出口需设置破袋检测（粉尘仪）。</t>
  </si>
  <si>
    <t>DN1500,敞开式，压力0.01MPa,电动，不含机旁操作箱，防爆</t>
  </si>
  <si>
    <t>DN1500,压力0.01MPa,电动，不含机旁操作箱，防爆</t>
  </si>
  <si>
    <t>4.10</t>
  </si>
  <si>
    <t>防爆电动葫芦</t>
  </si>
  <si>
    <t>起重量15t，起升高度10m</t>
  </si>
  <si>
    <t>4.11.</t>
  </si>
  <si>
    <t>煤气冷却器系统</t>
  </si>
  <si>
    <t>煤气冷却器</t>
  </si>
  <si>
    <t>筒体直径6.8m，高23m，Q355NH约55%，Q245R约45%</t>
  </si>
  <si>
    <t>口径：100mm，喷射角度：120度，喷水量：80t/h，0.4MPa</t>
  </si>
  <si>
    <t>管道系统</t>
  </si>
  <si>
    <t xml:space="preserve">金属波纹补偿器 </t>
  </si>
  <si>
    <t>DN2600，平均长度2400mm，工作耐温：250度，工作压力：±4000Pa，</t>
  </si>
  <si>
    <t>管道滑动托座</t>
  </si>
  <si>
    <t>聚四氟乙烯滑动，φ2620</t>
  </si>
  <si>
    <t>阀门:＞DN300手动阀门</t>
  </si>
  <si>
    <t>DN300~DN500手动阀、各类安全阀、各类隔断阀</t>
  </si>
  <si>
    <t>材料量</t>
  </si>
  <si>
    <t>钢板卷管</t>
  </si>
  <si>
    <t>风管用钢板</t>
  </si>
  <si>
    <t>δ=10mm，Q235B</t>
  </si>
  <si>
    <t>各种型材(管道支吊架，辅助设施)</t>
  </si>
  <si>
    <t>各类型钢，Q235B</t>
  </si>
  <si>
    <t>零星手动阀门及无缝钢管</t>
  </si>
  <si>
    <t>安全阀，放散阀等，口径DN20~DN300，无缝钢管</t>
  </si>
  <si>
    <t>离心玻璃棉</t>
  </si>
  <si>
    <t>m3</t>
  </si>
  <si>
    <t>保温保护层</t>
  </si>
  <si>
    <t>0.5mm镀锌铁皮</t>
  </si>
  <si>
    <t>m2</t>
  </si>
  <si>
    <t>电除尘器用润滑油</t>
  </si>
  <si>
    <t>耐温400℃</t>
  </si>
  <si>
    <t>切换阀站用润滑油</t>
  </si>
  <si>
    <t>46号汽轮机油</t>
  </si>
  <si>
    <t>转炉二次除尘系统</t>
  </si>
  <si>
    <t>2153-2</t>
  </si>
  <si>
    <t>滤筒除尘器</t>
  </si>
  <si>
    <t>处理流量：140万m3/h，过滤面积：33340m2，滤料材质：腹膜涤纶针刺毡，滤筒规格：Φ160mm×3m，出口含尘浓度：10mg/Nm3，配带脉冲阀，配带灰斗至储灰仓气力输送装置。储灰仓容积：80m3。为机电一体品，带DCS柜、MCC柜、电源进线柜等。含真空罐车接口装置。含风机电机阀门仪表DCS柜。</t>
  </si>
  <si>
    <t>除尘风机</t>
  </si>
  <si>
    <t>处理流量：140万m3/h，全压5500Pa，双吸双支撑，730rpm，滑动轴承，油冷。介质温度：80度，带测温、测振。户外安装。带机旁箱。带进出口橡胶材质软连接。带入口阀。带稀油站。</t>
  </si>
  <si>
    <t>主电机</t>
  </si>
  <si>
    <t>3150kW，10kV，730rpm，户外型，变频电机，IP55</t>
  </si>
  <si>
    <t>消声器</t>
  </si>
  <si>
    <t>处理流量：140万m3/h，阻损：200Pa，消声值：30dBA，片式结构</t>
  </si>
  <si>
    <t>橡胶补偿器</t>
  </si>
  <si>
    <t>DN4700，天然橡胶，500mm长，压力：0.01MPa</t>
  </si>
  <si>
    <t>耐磨尘气电动蝶阀</t>
  </si>
  <si>
    <t>DN2600,压力0.01MPa，电动，耐温：400度，不含机旁操作箱，IP54，带阀位反馈</t>
  </si>
  <si>
    <t>DN3400,压力0.01MPa，电动，耐温：400度，不含机旁操作箱，IP54，带阀位反馈</t>
  </si>
  <si>
    <t>DN600,压力0.01MPa，电动，耐温：400度，不含机旁操作箱，IP54</t>
  </si>
  <si>
    <t>DN300~DN800,压力0.01MPa，涡轮蜗杆，耐温：常温</t>
  </si>
  <si>
    <t>DN1600,压力0.01MPa，电动，耐温：200度，不含机旁操作箱，IP54</t>
  </si>
  <si>
    <t>DN1000,压力0.01MPa，电动，耐温：200度，不含机旁操作箱，IP54</t>
  </si>
  <si>
    <t>DN800,压力0.01MPa，电动，耐温：常温度，不含机旁操作箱，IP54</t>
  </si>
  <si>
    <t>门型除尘罩</t>
  </si>
  <si>
    <t>非标设备，Q235B</t>
  </si>
  <si>
    <t>移动式通风槽</t>
  </si>
  <si>
    <t>宽600mm，高800mm，长80m，带密封皮带</t>
  </si>
  <si>
    <t>δ=6~14mm，Q235B</t>
  </si>
  <si>
    <t>DN20~DN200</t>
  </si>
  <si>
    <t>隔声材料</t>
  </si>
  <si>
    <t>隔声保护层</t>
  </si>
  <si>
    <t>稀油站用润滑油</t>
  </si>
  <si>
    <t>除尘罩</t>
  </si>
  <si>
    <t>各种尺寸，非标，Q235B</t>
  </si>
  <si>
    <t>耐火喷涂料</t>
  </si>
  <si>
    <t>铝硅系轻质喷涂料，耐温≥1300度</t>
  </si>
  <si>
    <t>转炉三次除尘系统</t>
  </si>
  <si>
    <t>2153-3</t>
  </si>
  <si>
    <t>处理流量：140万m3/h，过滤面积：33340m2，滤料材质：腹膜涤纶针刺毡，滤筒规格：Φ160mm×3m，出口含尘浓度：10mg/Nm3，配带脉冲阀，配带灰斗至储灰仓气力输送装置。储灰仓容积：40m3。为机电一体品，带DCS柜、MCC柜、电源进线柜等。含真空罐车接口装置。含风机电机阀门仪表DCS柜。</t>
  </si>
  <si>
    <t>DN3100,压力0.01MPa，电动，耐温：200度，不含机旁操作箱，IP54，带阀位反馈</t>
  </si>
  <si>
    <t>DN2500,压力0.01MPa，电动，耐温：200度，不含机旁操作箱，IP54，带阀位反馈</t>
  </si>
  <si>
    <t>DN1900,压力0.01MPa，电动，耐温：200度，不含机旁操作箱，IP54</t>
  </si>
  <si>
    <t>δ=8~12mm，Q235B</t>
  </si>
  <si>
    <t>四</t>
  </si>
  <si>
    <t>精炼除尘系统</t>
  </si>
  <si>
    <t>2153-5</t>
  </si>
  <si>
    <t>处理流量：140万m3/h，过滤面积：33340m2，滤料材质：腹膜涤纶针刺毡，滤筒规格：Φ160mm×3m，出口含尘浓度：10mg/Nm3，配带脉冲阀，配带灰斗至储灰仓气力输送装置。储灰仓与转炉三次合用。为机电一体品，带DCS柜、MCC柜、电源进线柜等。含真空罐车接口装置。含风机电机阀门仪表DCS柜。</t>
  </si>
  <si>
    <t>DN1900,压力0.01MPa，电动，耐温：400度，不含机旁操作箱，IP54，带阀位反馈</t>
  </si>
  <si>
    <t>DN1500,压力0.01MPa，电动，耐温：200度，不含机旁操作箱，IP54，带阀位反馈</t>
  </si>
  <si>
    <t>DN1600,压力0.01MPa，电动，耐温：100度，不含机旁操作箱，IP54</t>
  </si>
  <si>
    <t>耐磨尘气手动蝶阀</t>
  </si>
  <si>
    <t>δ=3~10mm，Q235B</t>
  </si>
  <si>
    <t>五</t>
  </si>
  <si>
    <t>脱硫、折罐除尘系统</t>
  </si>
  <si>
    <t>2153-4</t>
  </si>
  <si>
    <t>DN2500,压力0.01MPa，电动，耐温：200度，不含机旁操作箱，IP54</t>
  </si>
  <si>
    <t>DN2400,压力0.01MPa，电动，耐温：200度，不含机旁操作箱，IP54</t>
  </si>
  <si>
    <t>DN2600,压力0.01MPa，电动，耐温：200度，不含机旁操作箱，IP54</t>
  </si>
  <si>
    <t>六</t>
  </si>
  <si>
    <t>地下料仓除尘系统</t>
  </si>
  <si>
    <t>2153-6</t>
  </si>
  <si>
    <t>处理流量：35万m3/h，过滤面积：8340m2，滤料材质：腹膜涤纶针刺毡，滤袋规格：Φ160mm×6m，出口含尘浓度：10mg/Nm3，，配带脉冲阀，配带灰斗至储灰仓气力输送装置。储灰仓容积：40m3。为机电一体品，带DCS柜、MCC柜、电源进线柜等。含真空罐车接口装置。含风机电机阀门仪表DCS柜。</t>
  </si>
  <si>
    <t>处理流量：35万m3/h，全压5200Pa，单吸双支撑，960rpm，滚动轴承，水冷。介质温度：常温，带测温、测振。户外安装。带机旁箱。带进出口橡胶材质软连接。带入口阀。</t>
  </si>
  <si>
    <t>710kW，10kV，960rpm，户外型，变频电机，IP55</t>
  </si>
  <si>
    <t>处理流量：35万m3/h，阻损：200Pa，消声值：30dBA，片式结构</t>
  </si>
  <si>
    <t>DN1300,压力0.01MPa，电动，耐温：100度，不含机旁操作箱，IP54</t>
  </si>
  <si>
    <t>δ=3~6mm，Q235B</t>
  </si>
  <si>
    <t>七</t>
  </si>
  <si>
    <t>通风空调采暖</t>
  </si>
  <si>
    <t>壁式轴流风机</t>
  </si>
  <si>
    <t>轴流风机:T35-11 No.3.15/n=2900rpm/L=3810m3/h，叶片角度25°，P=220Pa，N=0.37kW/380V</t>
  </si>
  <si>
    <t>轴流风机:T35-11 No.2.8/n=2900rpm/L=1649m3/h，叶片角度15°，P=152Pa，N=0.12kW/380V</t>
  </si>
  <si>
    <t>移动式轴流风机</t>
  </si>
  <si>
    <t>型号：DZ-12型6B,风量:14000m3/h,功率:3kW/380V</t>
  </si>
  <si>
    <t>圆型防火阀</t>
  </si>
  <si>
    <t>圆型防火阀 φ630 L=200</t>
  </si>
  <si>
    <t>圆型防火阀 φ320 L=200</t>
  </si>
  <si>
    <t>轴流风机:T35-11 No.6.3/n=1450rpm/L=9393m3/h，叶片角度15°，P=192Pa，N=0.75kW/380V</t>
  </si>
  <si>
    <t>防雨百叶</t>
  </si>
  <si>
    <t>防雨百叶，700x600mm</t>
  </si>
  <si>
    <t>二级能效风冷冷风电加热型空调</t>
  </si>
  <si>
    <t>风冷冷风电加热型,LFD8-B2,制冷量:8.5kW,电加热量:7.5kW,功耗:7.9kW/380V,循环风量:1800m3/h</t>
  </si>
  <si>
    <t>风冷冷风电加热型,LFD22-B2,制冷量:22.3kW,电加热量:12kW,功耗:13.85kW/380V,循环风量:4500m3/h</t>
  </si>
  <si>
    <t>风冷冷风电加热型,LFD34-B2,制冷量:34kW,电加热量:22.5kW,功耗:25.45kW/380V,循环风量:6500m3/h</t>
  </si>
  <si>
    <t>风冷多联空调机组</t>
  </si>
  <si>
    <t>总制冷量500kW，风冷型，带33套环绕出风天井式室内空调机，带7套风冷室外机。配套气液连接管、分歧管、控制面板、电缆；室内外机分别供电。</t>
  </si>
  <si>
    <t>二级能效壁挂式冷暖型空调</t>
  </si>
  <si>
    <t>壁挂式冷暖型空调,KFR35GW-B2,制冷量:3.5kW,制热量:4.8kW,电加热量:1kW,功耗:2.25kW/220V,循环风量:660m3/h</t>
  </si>
  <si>
    <t>钢铝复合散热器</t>
  </si>
  <si>
    <t>散热量：3kW</t>
  </si>
  <si>
    <t>高温消防排烟风机</t>
  </si>
  <si>
    <t>处理流量：36276m3/h，全压：1490Pa，转速：1450rpm 功率：22kW/380V</t>
  </si>
  <si>
    <t>280℃排烟防火阀</t>
  </si>
  <si>
    <t>常开，280°C关闭，输出关闭信号，手动复位，尺寸：1250mmX500mm</t>
  </si>
  <si>
    <t>各类型钢</t>
  </si>
  <si>
    <t>δ=3mm，Q235B</t>
  </si>
  <si>
    <t>低压流体输送焊接管</t>
  </si>
  <si>
    <t>DN20~DN300</t>
  </si>
  <si>
    <t>各类阀门</t>
  </si>
  <si>
    <t>DN20~DN200，截止阀等</t>
  </si>
  <si>
    <t>废钢库干雾抑尘系统</t>
  </si>
  <si>
    <t>干雾抑尘系统</t>
  </si>
  <si>
    <t>干雾覆盖长度100m，每米设置1个双介质喷嘴，水雾颗粒10μm，水流量20t/h，压缩空气流量36m3/min，总功率20kW/38V，配带水泵、储气罐、控制设施、操作箱、仪表、电缆、软接头，为机电一体品。</t>
  </si>
  <si>
    <t>DN20~DN150</t>
  </si>
  <si>
    <t>炼钢车间综合管线</t>
  </si>
  <si>
    <t>设备</t>
  </si>
  <si>
    <t>氧气点阀箱</t>
  </si>
  <si>
    <t>PN25，流,～40m3/h，带DN25入口氧气阀门，不锈钢，两个接口</t>
  </si>
  <si>
    <t>PN25，流,～150m3/h，带DN25入口氧气阀门，不锈钢，两个接口</t>
  </si>
  <si>
    <t>煤层气点阀箱</t>
  </si>
  <si>
    <t>PN16，流量～40m3/h，带DN25入口和取样阀，不锈钢，两个接口</t>
  </si>
  <si>
    <t>PN16，流量～150m3/h，带DN50入口和取样阀，不锈钢，两个接口</t>
  </si>
  <si>
    <t>氧气截止阀</t>
  </si>
  <si>
    <t>Jy41W-25P，DN125 PN25，不锈钢</t>
  </si>
  <si>
    <t>Jy41W-25P，DN50 PN25，不锈钢</t>
  </si>
  <si>
    <t>Jy41W-25P，DN25 PN25，不锈钢</t>
  </si>
  <si>
    <t>截止阀</t>
  </si>
  <si>
    <t>J41H-25C，DN150 PN25 碳钢</t>
  </si>
  <si>
    <t>J41H-25C，DN100 PN25 碳钢</t>
  </si>
  <si>
    <t>J41H-25C，DN80 PN25 碳钢</t>
  </si>
  <si>
    <t>J41H-25C，DN50 PN25 碳钢</t>
  </si>
  <si>
    <t>J41H-25C，DN25 PN25 碳钢</t>
  </si>
  <si>
    <t>减压阀</t>
  </si>
  <si>
    <t>Y43H-25C，DN150 PN25 碳钢</t>
  </si>
  <si>
    <t>止回阀</t>
  </si>
  <si>
    <t>H44H-25C，DN150 PN25 碳钢</t>
  </si>
  <si>
    <t>不锈钢球阀</t>
  </si>
  <si>
    <t>Q41H-16P，DN25 PN16 不锈钢</t>
  </si>
  <si>
    <t>手动煤气蝶阀</t>
  </si>
  <si>
    <t>DN400 PN1，带防爆控制箱</t>
  </si>
  <si>
    <t>电伴热干式排水器</t>
  </si>
  <si>
    <t>排水器筒体：DN300，适应煤气压力≤0.9MPa，带电伴热</t>
  </si>
  <si>
    <t>自由复式波纹管补偿器</t>
  </si>
  <si>
    <t>DN600 PN1.0，波纹管元件采用2层，材质为316L，单层1mm厚。其余材料：Q235B</t>
  </si>
  <si>
    <t>DN400 PN1.0，波波纹管元件采用2层，材质为316L，单层1mm厚。其余材料：Q235B</t>
  </si>
  <si>
    <t>轴向波纹管补偿器</t>
  </si>
  <si>
    <t>DN300 PN1.0，波波纹管元件采用2层，材质为316L，单层1mm厚。其余材料：Q235B</t>
  </si>
  <si>
    <t>快速接头和金属软管</t>
  </si>
  <si>
    <t>DN50 PN25</t>
  </si>
  <si>
    <t>阀门</t>
  </si>
  <si>
    <t>碳钢阀门</t>
  </si>
  <si>
    <t>DN25~DN200 PN16</t>
  </si>
  <si>
    <t>管板卷管</t>
  </si>
  <si>
    <t>D630×6，材质Q235B</t>
  </si>
  <si>
    <t>m</t>
  </si>
  <si>
    <t>D426×6，材质Q235B</t>
  </si>
  <si>
    <t>DN25~DN400，材质20</t>
  </si>
  <si>
    <t>不锈钢无缝钢管</t>
  </si>
  <si>
    <t>DN25~DN350，材质Cr19Ni10 DN350</t>
  </si>
  <si>
    <t>管道附件与小支架等</t>
  </si>
  <si>
    <t>各类型材，Q235B</t>
  </si>
  <si>
    <t>球阀</t>
  </si>
  <si>
    <t>Q41H-16C，DN125 PN16 碳钢</t>
  </si>
  <si>
    <t>Q41H-16C，DN50 PN16 碳钢</t>
  </si>
  <si>
    <t>Q41H-16C，DN25 PN16 碳钢</t>
  </si>
  <si>
    <t>岩棉</t>
  </si>
  <si>
    <t>镀锌钢板</t>
  </si>
  <si>
    <t>δ=0.5</t>
  </si>
  <si>
    <t>（五）</t>
  </si>
  <si>
    <t>铁水脱硫</t>
  </si>
  <si>
    <t>氮气储罐</t>
  </si>
  <si>
    <t xml:space="preserve">储罐容积10m3，最高工作压力1.8MPa，成套放散阀、安全阀、排污阀，壳体材质Q345R </t>
  </si>
  <si>
    <t>J41W-25C，DN80 PN25 碳钢</t>
  </si>
  <si>
    <t>H44H-25C DN80 PN25 碳钢</t>
  </si>
  <si>
    <t>DN25~DN80 PN16</t>
  </si>
  <si>
    <t>DN25~DN100，材质20</t>
  </si>
  <si>
    <t>车间内燃气设施</t>
  </si>
  <si>
    <t>（一）</t>
  </si>
  <si>
    <t>转炉氧枪氧气及氮气阀站</t>
  </si>
  <si>
    <t>Jy541W-25T，DN350 PN25，硅黄铜</t>
  </si>
  <si>
    <t>Jy41W-25T，DN100 PN25，硅黄铜</t>
  </si>
  <si>
    <t>Jy41W-25T，DN50 PN25，硅黄铜</t>
  </si>
  <si>
    <t>Jy41W-25T，DN25 PN25，硅黄铜</t>
  </si>
  <si>
    <t>氧气过滤器</t>
  </si>
  <si>
    <t>DN350 PN25 ，外壳为不锈钢、滤芯为铜或铜合金</t>
  </si>
  <si>
    <t>氧气管道组合件</t>
  </si>
  <si>
    <t>DN300 PN25，材质TU2，带不锈钢短管</t>
  </si>
  <si>
    <t>氧气阻火铜管</t>
  </si>
  <si>
    <t xml:space="preserve">DN350 PN25，材质TU2，带不锈钢短管 </t>
  </si>
  <si>
    <t>氮气截止阀</t>
  </si>
  <si>
    <t>J541W-25P，DN350 PN25 不锈钢</t>
  </si>
  <si>
    <t>J541W-25P，DN100 PN25 不锈钢</t>
  </si>
  <si>
    <t>J41W-25P，DN50 PN25 不锈钢</t>
  </si>
  <si>
    <t>J41W-25P，DN25 PN25 不锈钢</t>
  </si>
  <si>
    <t>氮气过滤器</t>
  </si>
  <si>
    <t>DN300 PN25，材质不锈钢</t>
  </si>
  <si>
    <t>氧气止回阀</t>
  </si>
  <si>
    <t>DN350 PN25 硅黄铜</t>
  </si>
  <si>
    <t>DN25 PN16</t>
  </si>
  <si>
    <t>Jy541W-25T，DN150 PN25，硅黄铜</t>
  </si>
  <si>
    <t>DN25~DN350，材质20</t>
  </si>
  <si>
    <t>（二）</t>
  </si>
  <si>
    <t>转炉底吹阀站（含氮封阀站后配管、副枪配管）</t>
  </si>
  <si>
    <t>Q41F-25C DN100 PN25 碳钢</t>
  </si>
  <si>
    <t>Q41F-25C DN25 PN25 碳钢</t>
  </si>
  <si>
    <t>H44H-25C DN100 PN25 碳钢</t>
  </si>
  <si>
    <t>过滤器</t>
  </si>
  <si>
    <t>DN100 PN25，材质不锈钢</t>
  </si>
  <si>
    <t>（三）</t>
  </si>
  <si>
    <t>转炉氮封阀站（含氮封阀站后配管）</t>
  </si>
  <si>
    <t>DN25~DN250 PN16</t>
  </si>
  <si>
    <t>DN25~DN250，材质20</t>
  </si>
  <si>
    <t>（四）</t>
  </si>
  <si>
    <t>J41H-25C DN25 PN25 碳钢</t>
  </si>
  <si>
    <t>一次除尘设备区</t>
  </si>
  <si>
    <t>J541W-25C，DN250 PN25 碳钢</t>
  </si>
  <si>
    <t>H44H-25C，DN250 PN25 碳钢</t>
  </si>
  <si>
    <t>J41W-25C，DN50 PN25 碳钢</t>
  </si>
  <si>
    <t>J41W-25C，DN25 PN25 碳钢</t>
  </si>
  <si>
    <t>Q41H-16C，DN65 PN16 碳钢</t>
  </si>
  <si>
    <t>消防设施</t>
  </si>
  <si>
    <t>灭火器</t>
  </si>
  <si>
    <t>手提式磷酸铵盐干粉灭火器 MF/ABCE5</t>
  </si>
  <si>
    <t>具</t>
  </si>
  <si>
    <t>手提式二氧化碳灭火器 MT7</t>
  </si>
  <si>
    <t>灭火器箱</t>
  </si>
  <si>
    <t>XMDDG32</t>
  </si>
  <si>
    <t>推车式灭火器</t>
  </si>
  <si>
    <t>手提式二氧化碳灭火器 MFT/ABC20</t>
  </si>
  <si>
    <t>手提式磷酸铵盐干粉灭火器 MF/ABCE4</t>
  </si>
  <si>
    <t>XMDDG22</t>
  </si>
  <si>
    <t>车间外燃气设施</t>
  </si>
  <si>
    <t>炼钢主厂房区域</t>
  </si>
  <si>
    <t>防爆电动煤气蝶阀</t>
  </si>
  <si>
    <t>DN800 PN1，带防爆控制箱</t>
  </si>
  <si>
    <t>防爆电动煤气封闭式插板阀</t>
  </si>
  <si>
    <t>DN800 PN0.5，带防爆控制箱</t>
  </si>
  <si>
    <t>DN800 PN1.0，波纹管元件采用2层，材质为316L，单层1mm厚。其余材料：Q235B</t>
  </si>
  <si>
    <t>电伴热防泄漏煤气管道排水器</t>
  </si>
  <si>
    <t>排水器筒体：DN600，水封高度6m，带电伴热、液位显示</t>
  </si>
  <si>
    <t>Jy541W-25P，DN400 PN25，不锈钢</t>
  </si>
  <si>
    <t>Jy41W-25P，DN100 PN25，不锈钢</t>
  </si>
  <si>
    <t>氧气管道阻火器</t>
  </si>
  <si>
    <t>DN400 PN25,材质TU2，带不锈钢短管</t>
  </si>
  <si>
    <t>DN125 PN25,材质TU2，带不锈钢短管</t>
  </si>
  <si>
    <t>J541W-25C，DN500 PN25 碳钢</t>
  </si>
  <si>
    <t>J41W-25C，DN100 PN25 碳钢</t>
  </si>
  <si>
    <t>J541H-16C，DN300 PN16</t>
  </si>
  <si>
    <t>DN50 PN16</t>
  </si>
  <si>
    <t>DN25~DN100 PN16</t>
  </si>
  <si>
    <t>D820×6，材质Q235B</t>
  </si>
  <si>
    <t>DN25~DN500，材质20</t>
  </si>
  <si>
    <t>Q41H-16C，DN150 PN16 碳钢</t>
  </si>
  <si>
    <t>Q41H-16C，DN100 PN16 碳钢</t>
  </si>
  <si>
    <t>主车间热力设施</t>
  </si>
  <si>
    <t xml:space="preserve">设备类手动阀门 </t>
  </si>
  <si>
    <t>自由浮球式疏水阀</t>
  </si>
  <si>
    <t>CS49H-40C，DN32，PN40，带配对法兰、密封垫片及螺栓</t>
  </si>
  <si>
    <t>手动截止阀</t>
  </si>
  <si>
    <t>J41H-40C，DN32，PN40，带配对法兰、密封垫片及螺栓</t>
  </si>
  <si>
    <t>CS49H-25C，DN25，PN25，带配对法兰、密封垫片及螺栓</t>
  </si>
  <si>
    <t>J41H-25C，DN25，PN25，带配对法兰、密封垫片及螺栓</t>
  </si>
  <si>
    <t>J41H-64C，DN25，PN64，带配对法兰、密封垫片及螺栓</t>
  </si>
  <si>
    <t>6）</t>
  </si>
  <si>
    <t>手动法兰闸阀</t>
  </si>
  <si>
    <t>Z41H-16C，DN350，PN16，工作温度：40℃，带配对法兰、密封垫片及螺栓</t>
  </si>
  <si>
    <t>压缩空气储气罐</t>
  </si>
  <si>
    <t>V＝10m3，0.8MPa 材质Q345R</t>
  </si>
  <si>
    <t>V＝5m3，0.8MPa 材质Q345R</t>
  </si>
  <si>
    <t>V＝1m3，0.8MPa 材质Q345R</t>
  </si>
  <si>
    <t>弹簧支吊架</t>
  </si>
  <si>
    <t xml:space="preserve">  GB/T3087-2008  20  D377×13~ D108×4</t>
  </si>
  <si>
    <t xml:space="preserve">  GB/T8163-2018  20  D325×10~ D18×2</t>
  </si>
  <si>
    <t xml:space="preserve">各型手动阀门 </t>
  </si>
  <si>
    <t>PN16  DN250～DN15</t>
  </si>
  <si>
    <t>支架</t>
  </si>
  <si>
    <t>憎水性复合硅酸盐制品</t>
  </si>
  <si>
    <t>镀锌铁皮 δ=0.5mm</t>
  </si>
  <si>
    <t>余热锅炉系统</t>
  </si>
  <si>
    <t>1*240t转炉配套</t>
  </si>
  <si>
    <t>汽化冷却烟道(含裙罩、氧枪口、下料口、防爆门、检修人孔，）</t>
  </si>
  <si>
    <t>包括裙罩、炉口段烟道、固定烟道、尾部烟道等几部分，烟道直径3700mm，烟道总长~61m
下料口、氧枪口、副枪口要求使用铸造埋管式；</t>
  </si>
  <si>
    <t>烟道非金属补偿器</t>
  </si>
  <si>
    <t>烟道直径Φ3700mm，
轴向伸缩量150mm，横向变形量 50mm
烟气温度 ~1650℃，环境温度75℃
结构形式  非金属补偿器＋快速连接装置</t>
  </si>
  <si>
    <t>汽包</t>
  </si>
  <si>
    <t>DN2800x13400mm P=3.2MPa,工作温度245℃，容积80m³壳体材质Q370R</t>
  </si>
  <si>
    <t>除氧器及水箱</t>
  </si>
  <si>
    <t>旋膜式，φ2800mm ,L=~9.4m Q=60t/h,水箱容积60m³，材质Q245R</t>
  </si>
  <si>
    <t>检修用单轨电动葫芦</t>
  </si>
  <si>
    <t>起重量 2t,起吊高度 :~16m
电机功率 3kW,380V</t>
  </si>
  <si>
    <t>管道液压阻尼器</t>
  </si>
  <si>
    <t>弹簧支架</t>
  </si>
  <si>
    <t>手拉葫芦吊</t>
  </si>
  <si>
    <t>起重量 5t,起吊高度 :~9m</t>
  </si>
  <si>
    <t>补水系统</t>
  </si>
  <si>
    <t>补水箱</t>
  </si>
  <si>
    <t>V=60m3,材质：碳钢内衬环氧树脂防腐层；外表面刷防腐油漆两遍、面漆一遍</t>
  </si>
  <si>
    <t>补水泵</t>
  </si>
  <si>
    <t>Q=60t/h，常温，H=110m， N=~45kw 380V ，过流部件不锈钢材质，配变频电机</t>
  </si>
  <si>
    <t>不锈钢电动法兰球阀</t>
  </si>
  <si>
    <t>Q941H-16P，DN200，PN16，带配对法兰、密封垫片及螺栓</t>
  </si>
  <si>
    <t>不锈钢电动法兰闸阀</t>
  </si>
  <si>
    <t>Z941H-16P，DN200，PN16，带配对法兰、密封垫片及螺栓</t>
  </si>
  <si>
    <t>不锈钢手动法兰球阀</t>
  </si>
  <si>
    <t>Q41H-16P，DN200，PN16，带配对法兰、密封垫片及螺栓</t>
  </si>
  <si>
    <t>不锈钢手动球阀</t>
  </si>
  <si>
    <t>不锈钢手动蝶阀</t>
  </si>
  <si>
    <t>D341H-16P，DN200，PN16，带配对法兰、密封垫片及螺栓</t>
  </si>
  <si>
    <t>不锈钢Y型过滤器</t>
  </si>
  <si>
    <t>Q=100m³/h,DN200，PN16，带配对法兰、密封垫片及螺栓</t>
  </si>
  <si>
    <t>不锈钢轴流式止回阀</t>
  </si>
  <si>
    <t>H44H-16P，DN200，PN16，带配对法兰、密封垫片及螺栓</t>
  </si>
  <si>
    <t>不锈钢手动截止阀</t>
  </si>
  <si>
    <t>J41H-16P，DN65，PN16，带配对法兰、密封垫片及螺栓</t>
  </si>
  <si>
    <t>不锈钢节流阀</t>
  </si>
  <si>
    <t>L41H-16P，DN65，PN16，带配对法兰、密封垫片及螺栓</t>
  </si>
  <si>
    <t>J41H-16P，DN50，PN16，带配对法兰、密封垫片及螺栓</t>
  </si>
  <si>
    <t>J41H-16P，DN20，PN16，带配对法兰、密封垫片及螺栓</t>
  </si>
  <si>
    <t>不锈钢手动法兰闸阀</t>
  </si>
  <si>
    <t>Z41H-16P，DN150，PN16，带配对法兰、密封垫片及螺栓</t>
  </si>
  <si>
    <t>H44H-16P，DN150，PN16，带配对法兰、密封垫片及螺栓</t>
  </si>
  <si>
    <t>J41H-16P，DN25，PN16，带配对法兰、密封垫片及螺栓</t>
  </si>
  <si>
    <t>给水系统</t>
  </si>
  <si>
    <t>锅炉给水泵配变频电机</t>
  </si>
  <si>
    <t xml:space="preserve"> Q=135m3/h 150℃ H=430m， N=~280kw 380V，配变频电机</t>
  </si>
  <si>
    <t>Z41H-25C，DN200，PN25，工作温度：160℃，带配对法兰、密封垫片及螺栓</t>
  </si>
  <si>
    <t>Y型过滤器</t>
  </si>
  <si>
    <t>Q=140m³/h,DN200，PN25，工作温度：160℃，带配对法兰、密封垫片及螺栓</t>
  </si>
  <si>
    <t>轴流式止回阀</t>
  </si>
  <si>
    <t>ZSH41Y-64C，DN150，PN64，工作温度：160℃，带配对法兰、密封垫片及螺栓</t>
  </si>
  <si>
    <t>电动法兰闸阀</t>
  </si>
  <si>
    <t>Z941H-64C，DN150，PN64，工作温度：160℃，带配对法兰、密封垫片及螺栓</t>
  </si>
  <si>
    <t>Z41H-64C，DN150，PN64，工作温度：160℃，带配对法兰、密封垫片及螺栓</t>
  </si>
  <si>
    <t>J41H-64C，DN25，PN64，工作温度：160℃，带配对法兰、密封垫片及螺栓</t>
  </si>
  <si>
    <t>节流阀</t>
  </si>
  <si>
    <t>L41H-64C，DN25，PN64，工作温度：160℃，带配对法兰、密封垫片及螺栓</t>
  </si>
  <si>
    <t>Z41H-64C，DN200，PN64，工作温度：160℃，带配对法兰、密封垫片及螺栓</t>
  </si>
  <si>
    <t>H44H-64C，DN200，PN64，工作温度：160℃，带配对法兰、密封垫片及螺栓</t>
  </si>
  <si>
    <t>Z41H-64C，DN25，PN64，工作温度：160℃，带配对法兰、密封垫片及螺栓</t>
  </si>
  <si>
    <t>低压循环系统</t>
  </si>
  <si>
    <t>低压热水循环泵</t>
  </si>
  <si>
    <t>Q=500m3/h，160℃， H=55m，N=~132kw，380V</t>
  </si>
  <si>
    <t>低压循环泵入口立式滤水器</t>
  </si>
  <si>
    <t>Q＝500m3/h,  1.6MPa，入口温度：160℃</t>
  </si>
  <si>
    <t>柔性升降装置</t>
  </si>
  <si>
    <t>P=1.57MPa 流量：360m3/h</t>
  </si>
  <si>
    <t>Z41H-16C，DN300，PN16，工作温度：160℃，带配对法兰、密封垫片及螺栓</t>
  </si>
  <si>
    <t>H44H-16C，DN250，PN16，工作温度：160℃，带配对法兰、密封垫片及螺栓</t>
  </si>
  <si>
    <t>Z941H-16C，DN250，PN16，工作温度：160℃，带配对法兰、密封垫片及螺栓</t>
  </si>
  <si>
    <t>Z41H-16C，DN250，PN16，工作温度：160℃，带配对法兰、密封垫片及螺栓</t>
  </si>
  <si>
    <t>Q=360m³/h,DN250，PN16，带配对法兰、密封垫片及螺栓</t>
  </si>
  <si>
    <t>Z41H-16C，DN200，PN16，工作温度：160℃，带配对法兰、密封垫片及螺栓</t>
  </si>
  <si>
    <t>Q=190m³/h,DN200，PN16，带配对法兰、密封垫片及螺栓</t>
  </si>
  <si>
    <t>J41H-16C，DN100，PN16，工作温度：160℃，带配对法兰、密封垫片及螺栓</t>
  </si>
  <si>
    <t>J41H-16C，DN80，PN16，工作温度：160℃，带配对法兰、密封垫片及螺栓</t>
  </si>
  <si>
    <t>J41H-16C，DN25，PN16，工作温度：160℃，带配对法兰、密封垫片及螺栓</t>
  </si>
  <si>
    <t>高压循环系统</t>
  </si>
  <si>
    <t>高压热水循环泵</t>
  </si>
  <si>
    <t>Q=1200m3/h， 250℃ ，H=50m， N=~250kW，380V</t>
  </si>
  <si>
    <t>末段高压热水循环泵</t>
  </si>
  <si>
    <t>Q=800m3/h， 250℃ ，H=45m， N=~132kW，380V</t>
  </si>
  <si>
    <t>高压循环泵入口立式滤水器</t>
  </si>
  <si>
    <t>Q＝1200m3/h,  6.4MPa，入口温度：240℃</t>
  </si>
  <si>
    <t>末段循环泵入口立式滤水器</t>
  </si>
  <si>
    <t>Q＝800m3/h,  6.4MPa，入口温度：240℃</t>
  </si>
  <si>
    <t>炉口段Y型管道过滤器</t>
  </si>
  <si>
    <t>Q＝500m3/h, 6.4MPa，入口温度：240℃</t>
  </si>
  <si>
    <t>移动段Y型管道过滤器</t>
  </si>
  <si>
    <t>Q＝700m3/h, 6.4MPa，入口温度：240℃</t>
  </si>
  <si>
    <t>末段Y型管道过滤器</t>
  </si>
  <si>
    <t>Z41H-64C，DN400，PN64，工作温度：240℃，带配对法兰、密封垫片及螺栓</t>
  </si>
  <si>
    <t>H44H-64C，DN350，PN64，工作温度：240℃，带配对法兰、密封垫片及螺栓</t>
  </si>
  <si>
    <t>Z941H-64C，DN350，PN64，工作温度：240℃，带配对法兰、密封垫片及螺栓</t>
  </si>
  <si>
    <t>Z41H-64C，DN300，PN64，工作温度：240℃，带配对法兰、密封垫片及螺栓</t>
  </si>
  <si>
    <t>Z41H-64C，DN350，PN64，工作温度：240℃，带配对法兰、密封垫片及螺栓</t>
  </si>
  <si>
    <t>Z41H-64C，DN250，PN64，工作温度：240℃，带配对法兰、密封垫片及螺栓</t>
  </si>
  <si>
    <t>H44H-64C，DN300，PN64，工作温度：240℃，带配对法兰、密封垫片及螺栓</t>
  </si>
  <si>
    <t>Z941H-64C，DN300，PN64，工作温度：240℃，带配对法兰、密封垫片及螺栓</t>
  </si>
  <si>
    <t>J41H-64C，DN25，PN64，工作温度：240℃，带配对法兰、密封垫片及螺栓</t>
  </si>
  <si>
    <t>中压蒸汽系统</t>
  </si>
  <si>
    <t>Z41H-40C，DN350，PN40，工作温度：240℃，带配对法兰、密封垫片及螺栓</t>
  </si>
  <si>
    <t>ZSH41Y-40C，DN350，PN40，工作温度：240℃，带配对法兰、密封垫片及螺栓</t>
  </si>
  <si>
    <t>Z41H-40C，DN80，PN40，工作温度：240℃，带配对法兰、密封垫片及螺栓</t>
  </si>
  <si>
    <t>ZSH41Y-40C，DN80，PN40，工作温度：240℃，带配对法兰、密封垫片及螺栓</t>
  </si>
  <si>
    <t>Q＝8t/h,4.0MPa，入口温度：240℃</t>
  </si>
  <si>
    <t>CS49H-40C，DN32，PN40，工作温度：240℃，带配对法兰、密封垫片及螺栓</t>
  </si>
  <si>
    <t>J41H-40，DN32，PN40，工作温度~160℃，带配对法兰、密封垫片及螺栓</t>
  </si>
  <si>
    <t>CS49H-40C，DN25，PN40，工作温度：240℃，带配对法兰、密封垫片及螺栓</t>
  </si>
  <si>
    <t>J41H-40，DN25，PN40，工作温度~160℃，带配对法兰、密封垫片及螺栓</t>
  </si>
  <si>
    <t>低压蒸汽系统</t>
  </si>
  <si>
    <t>Z41H-25C，DN150，PN25，工作温度：240℃，带配对法兰、密封垫片及螺栓</t>
  </si>
  <si>
    <t>H44H-25C，DN150，PN25，工作温度：240℃，带配对法兰、密封垫片及螺栓</t>
  </si>
  <si>
    <t>Z41H-25C，DN25，PN25，工作温度：240℃，带配对法兰、密封垫片及螺栓</t>
  </si>
  <si>
    <t>Z41H-25C，DN125，PN25，工作温度：240℃，带配对法兰、密封垫片及螺栓</t>
  </si>
  <si>
    <t>Z41H-25C，DN65，PN25，工作温度：240℃，带配对法兰、密封垫片及螺栓</t>
  </si>
  <si>
    <t>Z41H-25，DN100，PN25，工作温度~200℃，带配对法兰、密封垫片及螺栓</t>
  </si>
  <si>
    <t>Z941H-25，DN100，PN25，工作温度~200℃，带配对法兰、密封垫片及螺栓</t>
  </si>
  <si>
    <t>CS49H-25C，DN25，PN25，工作温度：240℃，带配对法兰、密封垫片及螺栓</t>
  </si>
  <si>
    <t>J41H-25C，DN25，PN25，工作温度：240℃，带配对法兰、密封垫片及螺栓</t>
  </si>
  <si>
    <t>八</t>
  </si>
  <si>
    <t>排污</t>
  </si>
  <si>
    <t>定期排污扩容器</t>
  </si>
  <si>
    <t>工作温度≤120℃，工作压力0.15MPa，～7.5m3</t>
  </si>
  <si>
    <t>Z41H-25，DN50，PN25，工作温度~160℃，带配对法兰、密封垫片及螺栓</t>
  </si>
  <si>
    <t>Z941H-25，DN50，PN25，工作温度~160℃，带配对法兰、密封垫片及螺栓</t>
  </si>
  <si>
    <t>电动排污阀</t>
  </si>
  <si>
    <t>Z41H-64C，DN100，PN64，工作温度：240℃，带配对法兰、密封垫片及螺栓</t>
  </si>
  <si>
    <t>Z941H-64C，DN100，PN64，工作温度：240℃，带配对法兰、密封垫片及螺栓</t>
  </si>
  <si>
    <t>Z41H-64C，DN50，PN64，工作温度：240℃，带配对法兰、密封垫片及螺栓</t>
  </si>
  <si>
    <t>快速排污阀</t>
  </si>
  <si>
    <t>Z44H-64C，DN50，PN64，工作温度：240℃，带配对法兰、密封垫片及螺栓</t>
  </si>
  <si>
    <t>Z941H-64C，DN50，PN64，工作温度：240℃，带配对法兰、密封垫片及螺栓</t>
  </si>
  <si>
    <t>Z41H-64C，DN200，PN64，工作温度：240℃，带配对法兰、密封垫片及螺栓</t>
  </si>
  <si>
    <t>Z41H-25C，DN40，PN25，工作温度：240℃，带配对法兰、密封垫片及螺栓</t>
  </si>
  <si>
    <t>Z41H-25C，DN200，PN25，工作温度：240℃，带配对法兰、密封垫片及螺栓</t>
  </si>
  <si>
    <t>九</t>
  </si>
  <si>
    <t>放散</t>
  </si>
  <si>
    <t>汽包排汽消声器</t>
  </si>
  <si>
    <t>排汽量150t/h, 进汽压力3.2MPa消声量＞30dB（A）</t>
  </si>
  <si>
    <t>汽包安全阀用排汽消声器</t>
  </si>
  <si>
    <t>排汽量75t/h, 进汽压力3.2MPa消声量＞30dB（A）</t>
  </si>
  <si>
    <t>Z941H-64C，DN200，PN64，工作温度：240℃，带配对法兰、密封垫片及螺栓</t>
  </si>
  <si>
    <t>J41H-25C，DN50，PN25，工作温度：240℃，带配对法兰、密封垫片及螺栓</t>
  </si>
  <si>
    <t>Z941H-25C，DN150，PN25，工作温度：240℃，带配对法兰、密封垫片及螺栓</t>
  </si>
  <si>
    <t>十</t>
  </si>
  <si>
    <t>加药系统</t>
  </si>
  <si>
    <t>全自动炉水分析及加药装置（NaOH）</t>
  </si>
  <si>
    <t>包含0.3m³溶液箱2套、柱塞计量泵2台，计量泵流量:10L/h,输出压力:6.4MPa；配置炉水取样冷却器取样冷却器 1套，0.45m3；水质分析指标：PH值、电导率</t>
  </si>
  <si>
    <t>全自动给水分析及加药装置（氨）</t>
  </si>
  <si>
    <t>包含1m³溶液箱2套、柱塞计量泵2台，计量泵流量:30L/h,输出压力:1.6MPa；配置给水取样冷却器1套，0.45m3；水质分析指标：PH值、电导率</t>
  </si>
  <si>
    <t>不锈钢截止阀</t>
  </si>
  <si>
    <t>J41H-40P，DN25，PN40，材质不锈钢，带配对法兰、密封垫片及螺栓</t>
  </si>
  <si>
    <t>不锈钢止回阀</t>
  </si>
  <si>
    <t>H44H-40P，DN25，PN40，材质不锈钢，带配对法兰、密封垫片及螺栓</t>
  </si>
  <si>
    <t>J41H-16P，DN25，PN16，材质不锈钢，带配对法兰、密封垫片及螺栓</t>
  </si>
  <si>
    <t>H44H-16P，DN25，PN16，材质不锈钢，带配对法兰、密封垫片及螺栓</t>
  </si>
  <si>
    <t>J41H-25C，DN25，PN25，工作温度：160℃，带配对法兰、密封垫片及螺栓</t>
  </si>
  <si>
    <t>L41H-25C，DN25，PN25，工作温度：160℃，带配对法兰、密封垫片及螺栓</t>
  </si>
  <si>
    <t>L41H-64C，DN25，PN64，工作温度：240℃，带配对法兰、密封垫片及螺栓</t>
  </si>
  <si>
    <t>十二</t>
  </si>
  <si>
    <t>设备冷却水系统</t>
  </si>
  <si>
    <t>Z941H-16C,DN50,PN16</t>
  </si>
  <si>
    <t>十三</t>
  </si>
  <si>
    <t>氮封系统</t>
  </si>
  <si>
    <t>Z941H-16C，DN200，PN16，带配对法兰、密封垫片及螺栓</t>
  </si>
  <si>
    <t>Z941H-16C，DN125，PN16，带配对法兰、密封垫片及螺栓</t>
  </si>
  <si>
    <t>金属软管</t>
  </si>
  <si>
    <t>DN125，PN16，带配对法兰、密封垫片及螺栓</t>
  </si>
  <si>
    <t>十四</t>
  </si>
  <si>
    <t>锅炉本体管道  GB/T5310-2008  20G</t>
  </si>
  <si>
    <t>D420×14~ D159×4.5</t>
  </si>
  <si>
    <t>无缝钢管GB/T3087-2008  20</t>
  </si>
  <si>
    <t>D377×13~D57×3</t>
  </si>
  <si>
    <t>无缝钢管GB/T8163-2018  20</t>
  </si>
  <si>
    <t>D273×8~D57×3</t>
  </si>
  <si>
    <t>流体输送用不锈钢无缝钢管</t>
  </si>
  <si>
    <t>GB/T14976-2012   12Cr18Ni9</t>
  </si>
  <si>
    <t>支架（固定、滑动）</t>
  </si>
  <si>
    <t>低压管道阀门</t>
  </si>
  <si>
    <t>DN25~DN100,PN1.6</t>
  </si>
  <si>
    <t>高铝质耐火可塑料</t>
  </si>
  <si>
    <t>AL2O3含量＞55%</t>
  </si>
  <si>
    <t>煮炉药品</t>
  </si>
  <si>
    <t>磷酸三钠</t>
  </si>
  <si>
    <t>蓄热器</t>
  </si>
  <si>
    <t>卧式蓄热器</t>
  </si>
  <si>
    <t>V=200m3，1.6~3.2MPa，材质Q345R；蓄热器要求按照疲劳容器设计制造。</t>
  </si>
  <si>
    <t>分汽缸</t>
  </si>
  <si>
    <t>DN600</t>
  </si>
  <si>
    <t>排汽消声器</t>
  </si>
  <si>
    <t>150t/h,3.2MPa</t>
  </si>
  <si>
    <t>法兰闸阀</t>
  </si>
  <si>
    <t>Z41H-40C，DN300，PN40</t>
  </si>
  <si>
    <t>DN300，PN40</t>
  </si>
  <si>
    <t>Z41H-40C，DN250，PN40</t>
  </si>
  <si>
    <t>DN250，PN40</t>
  </si>
  <si>
    <t>Z41H-40C，DN150，PN40</t>
  </si>
  <si>
    <t>DN150，PN40</t>
  </si>
  <si>
    <t>Z41H-40C，DN200，PN40</t>
  </si>
  <si>
    <t>电动法兰闸阀（户外型）</t>
  </si>
  <si>
    <t>Z941H-40C，DN200，PN40</t>
  </si>
  <si>
    <t>Z41H-25C，DN300，PN25</t>
  </si>
  <si>
    <t>Z941H-25C，DN300，PN25</t>
  </si>
  <si>
    <t>Z41H-25C，DN250，PN25</t>
  </si>
  <si>
    <t>Z941H-25C，DN250，PN25</t>
  </si>
  <si>
    <t>Z41H-25C，DN200，PN25</t>
  </si>
  <si>
    <t>Z941H-25C，DN200，PN25</t>
  </si>
  <si>
    <t>Z41H-64C，DN80，PN64</t>
  </si>
  <si>
    <t>Z941H-64C，DN80，PN64</t>
  </si>
  <si>
    <t>DN80，PN64</t>
  </si>
  <si>
    <t>Z41H-40C，DN100，PN40</t>
  </si>
  <si>
    <t>Z941H-40C，DN100，PN40</t>
  </si>
  <si>
    <t>Z41H-40C，DN50，PN40</t>
  </si>
  <si>
    <t>P44H-40C，DN50，PN40</t>
  </si>
  <si>
    <t>Z41H-40C，DN150，PN25</t>
  </si>
  <si>
    <t>Z41H-40C，DN40，PN25</t>
  </si>
  <si>
    <t>电动法兰球阀（户外型）</t>
  </si>
  <si>
    <t>Q941F-16C，DN100，PN16</t>
  </si>
  <si>
    <t>法兰截止阀</t>
  </si>
  <si>
    <t xml:space="preserve">J41H-25C DN25  PN25 </t>
  </si>
  <si>
    <t>自由浮球式蒸汽疏水阀</t>
  </si>
  <si>
    <t>CS41H-25C，DN25，PN25</t>
  </si>
  <si>
    <t>J41H-40C，DN32，PN40</t>
  </si>
  <si>
    <t>CS41H-40C，DN32，PN40</t>
  </si>
  <si>
    <t>J41H-25C，DN40，PN25</t>
  </si>
  <si>
    <t>CS41H-25C，DN40，PN25</t>
  </si>
  <si>
    <t>CS41H-25C，DN15，PN25</t>
  </si>
  <si>
    <t>J41H-25C，DN15，PN25</t>
  </si>
  <si>
    <t>镀锌铁皮 δ=0.7mm</t>
  </si>
  <si>
    <t>厂区热力设施</t>
  </si>
  <si>
    <t>支架(不包括土建支架)</t>
  </si>
  <si>
    <t>3kV吊车配电系统</t>
  </si>
  <si>
    <t>位于转炉中控楼</t>
  </si>
  <si>
    <t>动力变压器</t>
  </si>
  <si>
    <t>油浸式，10±2x2.5%/3.15kV，5MVA，Ud=7%，Dyn11，ONAN，一级能效</t>
  </si>
  <si>
    <t>3kV开关柜（进线、母联）</t>
  </si>
  <si>
    <t xml:space="preserve">1）金属铠装中置式开关柜；                  2）主母线1600A；                            3）真空断路器1600A,31.5kA；            4）含微机综保装置、多功能电度表(0.2级)、硅橡胶外套氧化锌避雷器等；                           5）9点测温，安装在高压柜上，含高压柜内测温元件及通讯设备材料，RS485通讯,信号送综保后台；           </t>
  </si>
  <si>
    <t>3kV开关柜（馈线）</t>
  </si>
  <si>
    <t xml:space="preserve">1）金属铠装中置式开关柜；                  2）主母线1600A；                            3）真空断路器1250A,31.5kA；            4）含微机综保装置、多功能电度表(0.5级)、硅橡胶外套氧化锌避雷器等；                            5）9点测温，安装在高压柜上，含高压柜内测温元件及通讯设备材料，RS485通讯,信号送综保后台；            </t>
  </si>
  <si>
    <t>3kV隔离柜</t>
  </si>
  <si>
    <t xml:space="preserve">1）金属铠装中置式开关柜；                     2）主母线1600A；                            3）隔离手车1250A，31.5kA；                      4）含小电流选线装置，12路；                    5）6点测温，安装在高压柜上，含高压柜内测温元件及通讯设备材料，RS485通讯,信号送综保后台；                  </t>
  </si>
  <si>
    <t>3kV PT柜</t>
  </si>
  <si>
    <t>1）金属铠装中置式；                      2）主母线1600A；                             3）含微机综保装置、电压数显表，二次消谐器，熔断器、硅橡胶外套氧化锌避雷器；               4）含全电压监测装置，带RS485通讯,信号送综保后台；                              5）6点测温，安装在高压柜上，含高压柜内测温元件及通讯设备材料，RS485通讯,信号送综保后台；</t>
  </si>
  <si>
    <t>3kV开关柜（就地）</t>
  </si>
  <si>
    <t>金属铠装中置式,主母线1000A，真空断路器31.5kA，1250A（下进线，下出线）</t>
  </si>
  <si>
    <t>高压电缆</t>
  </si>
  <si>
    <t>动力电缆</t>
  </si>
  <si>
    <t>ZR-YJV-3.6/6kV 3x150</t>
  </si>
  <si>
    <t>ZR-YJV-3.6/6kV 3x120</t>
  </si>
  <si>
    <t>ZR-YJV-3.6/6kV 3x95</t>
  </si>
  <si>
    <t>ZR-YJV-3.6/6kV 3x185</t>
  </si>
  <si>
    <t>电缆头</t>
  </si>
  <si>
    <t>6kV冷缩电缆头，户内，3x150mm2</t>
  </si>
  <si>
    <t>6kV冷缩电缆头，户内，3x120mm2</t>
  </si>
  <si>
    <t>6kV冷缩电缆头，户内，3x95mm2</t>
  </si>
  <si>
    <t>电力电缆</t>
  </si>
  <si>
    <t>低压电缆</t>
  </si>
  <si>
    <t>ZR-YJV-0.6/1kV 3x4</t>
  </si>
  <si>
    <t>ZR-YJV-0.6/1kV 2x4</t>
  </si>
  <si>
    <t>控制电缆</t>
  </si>
  <si>
    <t>ZR-KVVRP-0.45/0.75kV 7x1.5</t>
  </si>
  <si>
    <t>转炉10kV配电系统</t>
  </si>
  <si>
    <t>10kV开关柜（进线）</t>
  </si>
  <si>
    <t>1）金属铠装中置式开关柜；                  2）主母线1250A；                            3）真空断路器1250A,31.5kA；            4）含微机综保装置、多功能电度表（0.2级）、硅橡胶外套氧化锌避雷器等；                    5）9点测温，安装在高压柜上，含高压柜内测温元件及通讯设备材料，RS485通讯,信号送综保后台；                                 6）含光差保护装置（预留光纤接口，与上级保持一致）                                  7）设零序互感器；</t>
  </si>
  <si>
    <t>10kV开关柜（母联）</t>
  </si>
  <si>
    <t xml:space="preserve">1）金属铠装中置式开关柜；                  2）主母线1250A；                            3）真空断路器1250A,31.5kA；            4）含微机综保装置、多功能电度表（0.5级）、硅橡胶外套氧化锌避雷器等；                    5）6点测温，安装在高压柜上，含高压柜内测温元件及通讯设备材料，RS485通讯,信号送综保后台；                                 </t>
  </si>
  <si>
    <t>10kV开关柜（馈线）</t>
  </si>
  <si>
    <t xml:space="preserve">1）金属铠装中置式开关柜；                  2）主母线1250A；                            3）真空断路器1250A,,31.5kA；            4）含微机综保装置、多功能电度表（0.5级）、硅橡胶外套氧化锌避雷器等；                    5）9点测温，安装在高压柜上，含高压柜内测温元件及通讯设备材料，RS485通讯,信号送综保后台；          </t>
  </si>
  <si>
    <t>10kV隔离柜</t>
  </si>
  <si>
    <t xml:space="preserve">1）金属铠装中置式开关柜；                     2）主母线1250A；                          3）隔离手车1250A，31.5kA；                        4）含小电流选线装置，34路；               5）6点测温，安装在高压柜上，含高压柜内测温元件及通讯设备材料，RS485通讯,信号送综保后台；                       </t>
  </si>
  <si>
    <t>10kV PT柜</t>
  </si>
  <si>
    <t>1）金属铠装中置式；                      2）主母线1250A；                             3）含微机综保装置、电压数显表，二次消谐器，熔断器、硅橡胶外套氧化锌避雷器；              4）含全电压监测装置，带RS485通讯,信号送综保后台；                             5）6点测温，安装在高压柜上，含高压柜内测温元件及通讯设备材料，RS485通讯,信号送综保后台；</t>
  </si>
  <si>
    <t>10kV母线桥</t>
  </si>
  <si>
    <t>10kV，1250A,31.5kA,三相,~8m</t>
  </si>
  <si>
    <t>直流电源系统</t>
  </si>
  <si>
    <t>1）免维护铅酸蓄电池，电池电压12V；            2）DC220V,100AH；                        3）带6kVA逆变电源；                        4）充电模块N+1设置；</t>
  </si>
  <si>
    <t>微机监控后台及通讯设备</t>
  </si>
  <si>
    <t xml:space="preserve">1、监控主机：监控主机兼操作员站兼数据服务器 1台，24寸液晶显示器 1台；鼠标、键盘等附件；全套监控软件；
2、网络激光打印机：A3/A4；
3、通信接口屏：规约转换器、远动装置、对时系统、网络交换机等，组屏安装（预留与上级变电站通讯接口）；
4、操作台：含桌椅2工位
5、通讯线缆：含屏蔽双绞线、超五类网络通信线等。                                    </t>
  </si>
  <si>
    <t>10kV无功补偿装置</t>
  </si>
  <si>
    <t>1）成套柜式，安装容量2700kvar，带6%铁芯电抗器；                                       2）分组自动投切；</t>
  </si>
  <si>
    <t>10kV变频柜</t>
  </si>
  <si>
    <t xml:space="preserve">1）额定电压：10kV；                               2）负载：转炉三次除尘风机；                        3）电机功率3150kW；                                                           4）带功率单元旁路，UPS电源（30min）；                              5）功率模块冗余，N+1；                           6）冷却方式：空水冷；                           7）包含空水冷设备、控制箱、通风管道，安装辅材等）；                                                          </t>
  </si>
  <si>
    <t xml:space="preserve">1）额定电压：10kV；                               2）负载：精炼除尘风机；                        3）电机功率3150kW；                                                           4）带功率单元旁路，UPS电源（30min）；                              5）功率模块冗余，N+1；                           6）冷却方式：空水冷；                           7）包含空水冷设备、控制箱、通风管道，安装辅材等）；                                                          </t>
  </si>
  <si>
    <t xml:space="preserve">1）额定电压：10kV；                               2）负载：地下料仓除尘风机；                        3）电机功率710kW；                                                           4）带功率单元旁路，UPS电源（30min）；   5）带旁路柜（含3个接触器）；                             6）功率模块冗余，N+1；                           7）冷却方式：空水冷；                           8）包含空水冷设备、控制箱、通风管道，安装辅材等）；                                                          </t>
  </si>
  <si>
    <t>ZR-YJV-8.7/15kV 3x95</t>
  </si>
  <si>
    <t>10kV冷缩电缆头，户内，3x95mm2,</t>
  </si>
  <si>
    <t>ZR-YJV-0.6/1kV 5x10</t>
  </si>
  <si>
    <t>ZR-KVVRP-0.45/0.75kV 19x1.5</t>
  </si>
  <si>
    <t>ZR-KVVRP-0.45/0.75kV 10x1.5</t>
  </si>
  <si>
    <t>ZR-KVVRP-0.45/0.75kV 5x1.5</t>
  </si>
  <si>
    <t>ZR-KVVRP-0.45/0.75kV 2x2.5</t>
  </si>
  <si>
    <t>新建35kV SVG开关站</t>
  </si>
  <si>
    <t xml:space="preserve">35kV SVG：直挂式                   </t>
  </si>
  <si>
    <t xml:space="preserve">35kV，SVG±45Mvar，角接，需满足N-1冗余要求。水-风冷却（水冷却IGBT） ，含控制系统及相关屏柜，含成套设备之间的连接导体。      </t>
  </si>
  <si>
    <t>谐波滤波支路：</t>
  </si>
  <si>
    <t>35kV，总有效补偿容量约为30Mvar，安装容量不小于54Mvar。含2次（C型）、3次、5次（高通）滤波支路，各次滤波支路单独用1个开关柜。</t>
  </si>
  <si>
    <t>35kV移开式开关柜</t>
  </si>
  <si>
    <t>柜宽1400mm，KYN-61-40.5，40kA，主母线1600A，TMY-100*10，含保护单元及电能表，采用合资品牌真空断路器</t>
  </si>
  <si>
    <t>1600A/40kA，固封极柱式真空断路器，设置0.2S级电度表，采用合资品牌真空断路器，采用差动保护，不含对端保护及站间光缆</t>
  </si>
  <si>
    <t>1250A/40kA，固封极柱式真空断路器，设置0.2S级电度表，采用合资品牌真空断路器</t>
  </si>
  <si>
    <t>1250A/40kA，固封极柱式真空断路器，采用合资品牌真空断路器</t>
  </si>
  <si>
    <t>谐波滤波用开关柜,1250A/40kA，SF6断路器，容性电流开断能力不低于800A，采用合资品牌真空断路器</t>
  </si>
  <si>
    <t>35kV PT ，含电压互感器、避雷器、电压测控装置</t>
  </si>
  <si>
    <t>直流屏（800X600X2260）</t>
  </si>
  <si>
    <t xml:space="preserve">程控免维护 220V DC  100Ah，含1套5kVA UPS，1面12V电池柜、1面进线柜、1面馈线柜。   
</t>
  </si>
  <si>
    <t>低压交流屏柜（800X600X2260）</t>
  </si>
  <si>
    <t>AC 380V,GGD，含ATS双电源切换，250A，带电子操作显示面板、电流表、电压表装于柜门前，约30个馈出回路。
塑壳断路器、交流接触器等低压元器件：厦门宏发、天水二一三、上海良信各系列产品。</t>
  </si>
  <si>
    <t>面</t>
  </si>
  <si>
    <t>通讯屏（800X600X2260）</t>
  </si>
  <si>
    <t>GPS扩展装置、交换机2台（每台至少24电口+4光口）、通讯管理机1台、电能量采集装置1台，预留与上级站之间的通讯接口，不含光缆</t>
  </si>
  <si>
    <t>照明配电箱</t>
  </si>
  <si>
    <t>含正常照明、事故照明、应急照明等，防护等级不低于IP41</t>
  </si>
  <si>
    <t>动力配电箱</t>
  </si>
  <si>
    <t>防护等级不低于IP41</t>
  </si>
  <si>
    <t>检修电源箱</t>
  </si>
  <si>
    <t>风机控制箱</t>
  </si>
  <si>
    <t>防护等级不低于IP54</t>
  </si>
  <si>
    <t>SF6监测主机箱</t>
  </si>
  <si>
    <t>全电压监测装置</t>
  </si>
  <si>
    <t>安装在PT柜内的二次设备室</t>
  </si>
  <si>
    <t>35kV电缆</t>
  </si>
  <si>
    <t>ZR-YJV22-26/35kV  (3x300)</t>
  </si>
  <si>
    <t>ZR-YJV22-26/35kV  (1x185）</t>
  </si>
  <si>
    <t>ZR-YJV22-26/35kV  (1x185)</t>
  </si>
  <si>
    <t>35kV电缆头</t>
  </si>
  <si>
    <t>冷缩式，户内型，配套ZR-YJV22-26/35kV  (3x300)</t>
  </si>
  <si>
    <t>冷缩式，户内型，配套ZR-YJV22-26/35kV  (1x185)</t>
  </si>
  <si>
    <t>冷缩式，户外型，配套ZR-YJV22-26/35kV  (1x185)</t>
  </si>
  <si>
    <t>冷缩式，户内型，配套ZR-YJV22-26/35kV  (1x150)</t>
  </si>
  <si>
    <t>冷缩式，户外型，配套ZR-YJV22-26/35kV  (1x150)</t>
  </si>
  <si>
    <t>ZR-YJV-0.6/1kV 2×2.5</t>
  </si>
  <si>
    <t>ZR-YJV-0.6/1kV 2×4</t>
  </si>
  <si>
    <t>ZR-YJV-0.6/1kV 3×25+2×16</t>
  </si>
  <si>
    <t>ZR-YJV-0.6/1kV 3×35+2×16</t>
  </si>
  <si>
    <t>ZR-YJV-0.6/1kV 4×16</t>
  </si>
  <si>
    <t>ZR-YJV-0.6/1kV 4×2.5</t>
  </si>
  <si>
    <t>ZR-YJV-0.6/1kV 5×16</t>
  </si>
  <si>
    <t>ZR-YJV-0.6/1kV 5×2.5</t>
  </si>
  <si>
    <t>ZR-YJV-0.6/1kV 5×4</t>
  </si>
  <si>
    <t>ZR-YJV-0.6/1kV 5×6</t>
  </si>
  <si>
    <t>ZR-YJV-0.6/1kV  3×70+2×35</t>
  </si>
  <si>
    <t>ZR-DJYVP 2×1.0</t>
  </si>
  <si>
    <t>ZR-KVVP-450/750V 2×2.5</t>
  </si>
  <si>
    <t>ZR-KVVP-450/750V 2×4</t>
  </si>
  <si>
    <t>ZR-KVVP-450/750V 4×2.5</t>
  </si>
  <si>
    <t>ZR-KVVP-450/750V 4×4</t>
  </si>
  <si>
    <t>ZR-KVVP-450/750V 8×2.5</t>
  </si>
  <si>
    <t>户内照明</t>
  </si>
  <si>
    <t>采用LED光源，所有LED照明灯具质保期不少于五年</t>
  </si>
  <si>
    <t>插座、开关</t>
  </si>
  <si>
    <t>安装材料及连接导线</t>
  </si>
  <si>
    <t>防雷接地（地下部分）</t>
  </si>
  <si>
    <t>热浸锌钢材</t>
  </si>
  <si>
    <t>水平接地极，-50x6</t>
  </si>
  <si>
    <t>垂直接地极，2.5m/根</t>
  </si>
  <si>
    <t xml:space="preserve">根       </t>
  </si>
  <si>
    <t>防雷接地（地上部分）</t>
  </si>
  <si>
    <t>-50x6,热浸锌扁钢</t>
  </si>
  <si>
    <t>-40x4,热浸锌扁钢</t>
  </si>
  <si>
    <t>热浸锌圆钢  ∅12</t>
  </si>
  <si>
    <t>导线</t>
  </si>
  <si>
    <t>BVR-450/750V  6mm2</t>
  </si>
  <si>
    <t>接地软铜线</t>
  </si>
  <si>
    <t>BVR-120mm2</t>
  </si>
  <si>
    <t>BVR-50mm2</t>
  </si>
  <si>
    <t>BVR-4mm2</t>
  </si>
  <si>
    <t>设备安装钢材</t>
  </si>
  <si>
    <t>槽钢、角钢、电缆沟支架</t>
  </si>
  <si>
    <t>防火封堵</t>
  </si>
  <si>
    <t>除尘及水处理10kV配电系统</t>
  </si>
  <si>
    <t>位于除尘及水处理电气室（水泵房上）</t>
  </si>
  <si>
    <t xml:space="preserve">1）金属铠装中置式开关柜；                  2）主母线1000A；                            3）真空断路器1250A,31.5kA；            4）含微机综保装置、多功能电度表（0.2级）、硅橡胶外套氧化锌避雷器等；                        5）9点测温，安装在高压柜上，含高压柜内测温元件及通讯设备材料，RS485通讯,信号送综保后台；                                    6）含光差保护装置（预留光纤接口，与上级保持一致）                                  7）设零序互感器；           </t>
  </si>
  <si>
    <t xml:space="preserve">1）金属铠装中置式开关柜；                  2）主母线1000A；                            3）真空断路器1250A,31.5kA；            4）含微机综保装置、多功能电度表（0.5级）、硅橡胶外套氧化锌避雷器等；                        5）6点测温，安装在高压柜上，含高压柜内测温元件及通讯设备材料，RS485通讯,信号送综保后台；                                              </t>
  </si>
  <si>
    <t xml:space="preserve">1）金属铠装中置式开关柜；                  2）主母线1000A；                            3）真空断路器1250A,31.5kA；            4）含微机综保装置、多功能电度表（0.5级）、硅橡胶外套氧化锌避雷器等；                     5）9点测温，安装在高压柜上，含高压柜内测温元件及通讯设备材料，RS485通讯,信号送综保后台；            </t>
  </si>
  <si>
    <t xml:space="preserve">1）金属铠装中置式开关柜；                     2）主母线1000A；                            3）隔离手车1250A，31.5kA；                        4）含小电流选线装置，24路；               5）6点测温，安装在高压柜上，含高压柜内测温元件及通讯设备材料，RS485通讯,信号送综保后台；                      </t>
  </si>
  <si>
    <t xml:space="preserve">1）金属铠装中置式；                      2）主母线1000A；                             3）含微机综保装置、电压数显表，二次消谐器，熔断器、硅橡胶外套氧化锌避雷器；              4）含全电压监测装置，带RS485通讯,信号送综保后台；                                   5）6点测温，安装在高压柜上，含高压柜内测温元件及通讯设备材料，RS485通讯,信号送综保后台； </t>
  </si>
  <si>
    <t>10kV，1000A,31.5kA,三相,~8m</t>
  </si>
  <si>
    <t>1）成套柜式，安装容量750kvar，带6%铁芯电抗器；                                       2）分组自动投切；</t>
  </si>
  <si>
    <t xml:space="preserve">1）额定电压：10kV；                               2）负载：脱硫、连铸、折罐除尘风机；                        3）电机功率3150kW；                                                           4）带功率单元旁路，UPS电源（30min）；                               5）功率模块冗余，N+1；                           6）冷却方式：空水冷；                           7）包含空水冷设备、控制箱、通风管道，安装辅材等）；                                                          </t>
  </si>
  <si>
    <t xml:space="preserve">1）额定电压：10kV；                               2）负载：煤气除尘风机；                        3）电机功率1800kW（超频运行，65Hz）；                                                           4）带功率单元旁路，UPS电源（30min）；   5）带旁路柜（含3个接触器）；                             6）功率模块冗余，N+1；                           7）冷却方式：空水冷；                           8）包含空水冷设备、控制箱、通风管道，安装辅材等）；                                                          </t>
  </si>
  <si>
    <t xml:space="preserve">1）额定电压：10kV；                               2）负载：转炉二次除尘风机；                        3）电机功率3150kW；                                                           4）带功率单元旁路，UPS电源（30min）；                              5）功率模块冗余，N+1；                           6）冷却方式：空水冷；                           7）包含空水冷设备、控制箱、通风管道，安装辅材等）；                                                          </t>
  </si>
  <si>
    <t>名称</t>
  </si>
  <si>
    <t>电缆桥架</t>
  </si>
  <si>
    <t xml:space="preserve">低压电气柜：GGD，IP31，构架采用 2mm 厚的 8MF 型钢冷弯型局部焊接组装而成            操作箱、辅助箱体均采用全不锈钢材质。 </t>
  </si>
  <si>
    <t>低压变频柜：GGD，IP20。               冷轧薄钢板，钢板厚度不小于 2.0mm， 柜架材质厚度不小于 2.5 mm</t>
  </si>
  <si>
    <t>炼钢主厂房</t>
  </si>
  <si>
    <t>电气设备</t>
  </si>
  <si>
    <t>1)</t>
  </si>
  <si>
    <t>负荷开关</t>
  </si>
  <si>
    <t>10kV，630A</t>
  </si>
  <si>
    <t>起重机变压器</t>
  </si>
  <si>
    <t>一级能效，S22，油浸式，10/0.4kV 1600kVA.</t>
  </si>
  <si>
    <t>封闭母线</t>
  </si>
  <si>
    <t>3*2500A+1*1250A</t>
  </si>
  <si>
    <t>2)</t>
  </si>
  <si>
    <t>低压无功补偿装置</t>
  </si>
  <si>
    <t>360kvar</t>
  </si>
  <si>
    <t>3)</t>
  </si>
  <si>
    <t>受电柜</t>
  </si>
  <si>
    <t>2500A</t>
  </si>
  <si>
    <t>联络柜</t>
  </si>
  <si>
    <t>2000A</t>
  </si>
  <si>
    <t>4)</t>
  </si>
  <si>
    <t>负荷中心-吊车</t>
  </si>
  <si>
    <t>母排：2500A。内装2个1000A断路器</t>
  </si>
  <si>
    <t>母排：2500A。</t>
  </si>
  <si>
    <t>母排：2000A。内装1个1000A断路器</t>
  </si>
  <si>
    <t>负荷中心-照明</t>
  </si>
  <si>
    <t>母排：400A</t>
  </si>
  <si>
    <t>吊车现场开关柜</t>
  </si>
  <si>
    <t>内装1个1250A断路器，IP54</t>
  </si>
  <si>
    <t>内装1个800A断路器，IP54</t>
  </si>
  <si>
    <t>内装1个1000A断路器，IP54</t>
  </si>
  <si>
    <t>吊车现场开关箱</t>
  </si>
  <si>
    <t>内装1个400A断路器，IP54</t>
  </si>
  <si>
    <t>内装1个500A断路器，IP54</t>
  </si>
  <si>
    <t>7)</t>
  </si>
  <si>
    <t>电葫芦开关箱</t>
  </si>
  <si>
    <t>50A，IP54</t>
  </si>
  <si>
    <t>8)</t>
  </si>
  <si>
    <t>50A进线，IP54</t>
  </si>
  <si>
    <t>电气材料</t>
  </si>
  <si>
    <t>滑触线</t>
  </si>
  <si>
    <t xml:space="preserve">刚体滑触线    </t>
  </si>
  <si>
    <t>500A</t>
  </si>
  <si>
    <t>1000A</t>
  </si>
  <si>
    <t>安全滑触线</t>
  </si>
  <si>
    <t>250A，（单级）</t>
  </si>
  <si>
    <t>ZC-YJV-0.6/1kV 3*120+1*70</t>
  </si>
  <si>
    <t>ZC-YJV-0.6/1kV 3*185+1*95</t>
  </si>
  <si>
    <t>ZC-YJV-0.6/1kV 3*95+1*50</t>
  </si>
  <si>
    <t>ZC-YJV-0.6/1kV 3*50+1*25</t>
  </si>
  <si>
    <t>ZC-YJV-0.6/1kV 4*10</t>
  </si>
  <si>
    <t>ZC-YJV-0.6/1kV 5*10</t>
  </si>
  <si>
    <t>热浸镀锌</t>
  </si>
  <si>
    <t>5)</t>
  </si>
  <si>
    <t>电气钢结构</t>
  </si>
  <si>
    <t>零星钢结构，镀锌</t>
  </si>
  <si>
    <t>6)</t>
  </si>
  <si>
    <t>主厂房照明</t>
  </si>
  <si>
    <t>主厂房防雷接地</t>
  </si>
  <si>
    <t>平台照明</t>
  </si>
  <si>
    <t>废钢设施</t>
  </si>
  <si>
    <t>废钢MCC</t>
  </si>
  <si>
    <t>固定式，母排：250A，</t>
  </si>
  <si>
    <t>维修设施</t>
  </si>
  <si>
    <t>维修MCC</t>
  </si>
  <si>
    <t>固定式，母排：630A，</t>
  </si>
  <si>
    <t>维修变频器柜</t>
  </si>
  <si>
    <t>母排：630A。含制动单元、制动电阻；PN通讯模板，进出电抗器</t>
  </si>
  <si>
    <t>变频器-过跨车</t>
  </si>
  <si>
    <t xml:space="preserve">132kW，V/f   </t>
  </si>
  <si>
    <t>变频器-热修车+冷修车</t>
  </si>
  <si>
    <t xml:space="preserve">55kW，V/f   </t>
  </si>
  <si>
    <t>ZC-YJV-0.6/1kV 3*35+2*25</t>
  </si>
  <si>
    <t>ZC-YJV-0.6/1kV 5*2.5</t>
  </si>
  <si>
    <t>ZC-KVV-450/750V 7*1.5</t>
  </si>
  <si>
    <t>电气配管</t>
  </si>
  <si>
    <t>镀锌</t>
  </si>
  <si>
    <t>上料设施</t>
  </si>
  <si>
    <t>电力变压器</t>
  </si>
  <si>
    <t>一级能效，S22，油浸式，10/0.4kV 400kVA.</t>
  </si>
  <si>
    <t>3*630A+1*400A</t>
  </si>
  <si>
    <t>120kvar</t>
  </si>
  <si>
    <t>上料MCC</t>
  </si>
  <si>
    <t>上料软启动器柜</t>
  </si>
  <si>
    <t>软启动器</t>
  </si>
  <si>
    <t>110kW</t>
  </si>
  <si>
    <t>75kW</t>
  </si>
  <si>
    <t>马达保护器</t>
  </si>
  <si>
    <t>15kW</t>
  </si>
  <si>
    <t>30kW</t>
  </si>
  <si>
    <t>ZC-YJV-0.6/1kV 3*120+2*70</t>
  </si>
  <si>
    <t>ZC-YJV-0.6/1kV 3*35+1*25</t>
  </si>
  <si>
    <t>ZC-YJV-0.6/1kV 4*2.5</t>
  </si>
  <si>
    <t>ZC-YJV-0.6/1kV 3*50+2*35</t>
  </si>
  <si>
    <t>ZC-KVVP-450/750V 7*1.5</t>
  </si>
  <si>
    <t>皮带通廊照明</t>
  </si>
  <si>
    <t>KR脱硫</t>
  </si>
  <si>
    <t>辅助电源箱</t>
  </si>
  <si>
    <t>40A进线，IP54</t>
  </si>
  <si>
    <t>160A进线，IP54</t>
  </si>
  <si>
    <t>100A进线，IP54</t>
  </si>
  <si>
    <t>IP54</t>
  </si>
  <si>
    <t>MCC柜</t>
  </si>
  <si>
    <t>母排：500A。</t>
  </si>
  <si>
    <t>软启动器柜</t>
  </si>
  <si>
    <t xml:space="preserve">110kW，V/f   </t>
  </si>
  <si>
    <t>变频器柜</t>
  </si>
  <si>
    <t>母排：500A。含制动单元、制动电阻；PN通讯模板，进出电抗器</t>
  </si>
  <si>
    <t>变频器-渣罐车走行</t>
  </si>
  <si>
    <t xml:space="preserve">30kW，V/f   </t>
  </si>
  <si>
    <t>变频器-搅拌头升降</t>
  </si>
  <si>
    <t xml:space="preserve">90kW，矢量型  </t>
  </si>
  <si>
    <t>变频器-吹气赶渣升降电机</t>
  </si>
  <si>
    <t xml:space="preserve">7.5kW，矢量型   </t>
  </si>
  <si>
    <t>变频器-吹气赶渣电液推杆</t>
  </si>
  <si>
    <t xml:space="preserve">11kW，V/f   </t>
  </si>
  <si>
    <t>变频器-测温取样</t>
  </si>
  <si>
    <t xml:space="preserve">3kW，V/f   </t>
  </si>
  <si>
    <t>变频器-旋转给料器</t>
  </si>
  <si>
    <t xml:space="preserve">7.5kW，V/f   </t>
  </si>
  <si>
    <t>变频器-搅拌头升降事故电机</t>
  </si>
  <si>
    <t xml:space="preserve">15kW，矢量型  </t>
  </si>
  <si>
    <t>电源引自负荷中心。含制动单元、制动电阻；PN通讯模板，进出电抗器</t>
  </si>
  <si>
    <t>变频器-搅拌头旋转</t>
  </si>
  <si>
    <t xml:space="preserve">450kW，V/f   </t>
  </si>
  <si>
    <t>变频器-铁水罐车走行</t>
  </si>
  <si>
    <t xml:space="preserve">75kW，V/f   </t>
  </si>
  <si>
    <t xml:space="preserve"> 5）</t>
  </si>
  <si>
    <t>事故提升EPS</t>
  </si>
  <si>
    <t>15kW，后备时间，20min。</t>
  </si>
  <si>
    <t>ZC-YJV-0.6/1kV 3*35+2*16</t>
  </si>
  <si>
    <t>ZC-YGGR-0.6/1kV 4*2.5</t>
  </si>
  <si>
    <t>变频电缆</t>
  </si>
  <si>
    <t>变频电力电缆</t>
  </si>
  <si>
    <t>ZC-BPYJVP-0.6/1kV 3*95+3*16</t>
  </si>
  <si>
    <t>ZC-BPYJVP-0.6/1kV 3*70+3*10</t>
  </si>
  <si>
    <t>ZC-BPYJVP-0.6/1kV 3*16+3*2.5</t>
  </si>
  <si>
    <t>ZC-BPGGP-0.6/1kV 3*4+3*0.75</t>
  </si>
  <si>
    <t>ZC-KVVRP-450/750V 7*1.5</t>
  </si>
  <si>
    <t>ZC-KGGRP-450/750V 5*1.5</t>
  </si>
  <si>
    <t>4极安全滑线</t>
  </si>
  <si>
    <t>40A</t>
  </si>
  <si>
    <t>转炉</t>
  </si>
  <si>
    <t>0)</t>
  </si>
  <si>
    <t>倾动氧枪</t>
  </si>
  <si>
    <t>进线柜</t>
  </si>
  <si>
    <t>变频柜</t>
  </si>
  <si>
    <t>母排：2000A。含制动单元、制动电阻；PN通讯模板，进出电抗器</t>
  </si>
  <si>
    <t>变频器-倾动</t>
  </si>
  <si>
    <t>400kW ，重载，矢量型</t>
  </si>
  <si>
    <t>变频器-氧枪</t>
  </si>
  <si>
    <t>315kW ，重载，矢量型</t>
  </si>
  <si>
    <t>变频器-事故提升</t>
  </si>
  <si>
    <t>37kW ，重载，矢量型</t>
  </si>
  <si>
    <t>事故UPS</t>
  </si>
  <si>
    <t>40kVA，后备式，后备时间20min。含柜体</t>
  </si>
  <si>
    <t>随工艺设备成套</t>
  </si>
  <si>
    <t>事故EPS</t>
  </si>
  <si>
    <t>90kW，后备时间15min。含柜体</t>
  </si>
  <si>
    <t>400A</t>
  </si>
  <si>
    <t>MCC</t>
  </si>
  <si>
    <t>母排：400A。</t>
  </si>
  <si>
    <t>37kW</t>
  </si>
  <si>
    <t>母排：400A。含制动单元、制动电阻；PN通讯模板，进出电抗器</t>
  </si>
  <si>
    <t>变频器-钢水罐车</t>
  </si>
  <si>
    <t xml:space="preserve">132kW，V/f    </t>
  </si>
  <si>
    <t>变频器-渣罐车</t>
  </si>
  <si>
    <t xml:space="preserve">55kW，V/f    </t>
  </si>
  <si>
    <t>变频器-炉前挡火门</t>
  </si>
  <si>
    <t xml:space="preserve">11kW，V/f    </t>
  </si>
  <si>
    <t>加料设施</t>
  </si>
  <si>
    <t>母排：400A。含PN通讯模板，进出电抗器</t>
  </si>
  <si>
    <t>变频器-给料机</t>
  </si>
  <si>
    <t>2.2kW，V/F</t>
  </si>
  <si>
    <t>汽化设施</t>
  </si>
  <si>
    <t>母排：2000A</t>
  </si>
  <si>
    <t>315kW</t>
  </si>
  <si>
    <t>160kW</t>
  </si>
  <si>
    <t>132kW</t>
  </si>
  <si>
    <t>母排：2000A。含PN通讯模板，进出电抗器</t>
  </si>
  <si>
    <t>变频器-给水泵</t>
  </si>
  <si>
    <t>400kW ，v/f</t>
  </si>
  <si>
    <t>变频器-补水泵</t>
  </si>
  <si>
    <t>55kW ，v/f</t>
  </si>
  <si>
    <t>变频器-中间水箱水泵</t>
  </si>
  <si>
    <t>75kW ，v/f</t>
  </si>
  <si>
    <t>母排200A</t>
  </si>
  <si>
    <t>ZC-YJV-0.6/1kV 2*150</t>
  </si>
  <si>
    <t>ZC-YJV-0.6/1kV 4*4</t>
  </si>
  <si>
    <t>ZC-YGG-0.6/1kV 4*2.5</t>
  </si>
  <si>
    <t>ZC-BPGGP-0.6/1kV 3*120+3*25</t>
  </si>
  <si>
    <t>ZC-BPYJVP-0.6/1kV 3*150+3*25</t>
  </si>
  <si>
    <t>ZC-BPYJVP-0.6/1kV 3*50+3*10</t>
  </si>
  <si>
    <t>ZC-BPGGP-0.6/1kV 3*35+3*6</t>
  </si>
  <si>
    <t>ZC-BPYJVP-0.6/1kV 3*2.5+3*0.5</t>
  </si>
  <si>
    <t>ZC-YJV-0.6/1kV 2*2.5</t>
  </si>
  <si>
    <t>ZC-KVV-450/750V 4*1.5</t>
  </si>
  <si>
    <t>ZC-KGG-450/750V 7*1.5</t>
  </si>
  <si>
    <t>ZC-DJGPGPR-300/500V   4*2*1.0</t>
  </si>
  <si>
    <t>ZC-KVVRP-450/750V 10*1.5</t>
  </si>
  <si>
    <t>镀锌:ф20~100</t>
  </si>
  <si>
    <t>80A</t>
  </si>
  <si>
    <t>2A</t>
  </si>
  <si>
    <t>转炉配电系统</t>
  </si>
  <si>
    <t>一级能效，S22，油浸式，10/0.4kV 2500kVA.</t>
  </si>
  <si>
    <t>3*4000A+1*2000A</t>
  </si>
  <si>
    <t>240kvar</t>
  </si>
  <si>
    <t>4000A</t>
  </si>
  <si>
    <t>3200A</t>
  </si>
  <si>
    <t>负荷中心</t>
  </si>
  <si>
    <t>母排：4000A。内装1个2000A断路器</t>
  </si>
  <si>
    <t>母排：4000A。内装2个1000A断路器</t>
  </si>
  <si>
    <t>母排：4000A。</t>
  </si>
  <si>
    <t>ZC-YJV-0.6/1kV 3*185+2*95</t>
  </si>
  <si>
    <t>NH-YJV-0.6/1kV 5*16</t>
  </si>
  <si>
    <t>钢管</t>
  </si>
  <si>
    <t>转炉公用设备</t>
  </si>
  <si>
    <t>现场控制箱</t>
  </si>
  <si>
    <t>冷轧钢板+喷塑，IP54</t>
  </si>
  <si>
    <t>250A进线，冷轧钢板+喷塑，IP54</t>
  </si>
  <si>
    <t>空调开关箱</t>
  </si>
  <si>
    <t>160A进线，不锈钢，IP54</t>
  </si>
  <si>
    <t>40A进线，不锈钢，IP54</t>
  </si>
  <si>
    <t>50A进线，冷轧钢板+喷塑，IP54</t>
  </si>
  <si>
    <t>ZC-BPYJVP-0.6/1kV 3*120+3*25</t>
  </si>
  <si>
    <t>ZC-BPYJVP-0.6/1kV 3*35+3*6</t>
  </si>
  <si>
    <t>ZC-YJV-0.6/1kV 3*25+2*16</t>
  </si>
  <si>
    <t>ZC-YJV-0.6/1kV 3*150+2*70</t>
  </si>
  <si>
    <t>LF炉电气</t>
  </si>
  <si>
    <t>精炼炉变压器（48MVA）</t>
  </si>
  <si>
    <t>变压器本体（含变压器油）</t>
  </si>
  <si>
    <t>进口有载调压开关</t>
  </si>
  <si>
    <t>复合板式水冷却器及操作箱</t>
  </si>
  <si>
    <t>变压器离线滤油装置</t>
  </si>
  <si>
    <t>高压柜及变压器现场试验</t>
  </si>
  <si>
    <t>35Kv高压开关柜</t>
  </si>
  <si>
    <t>进线隔离开关柜</t>
  </si>
  <si>
    <t>35kV,母线1250A,隔离开关1250A，31.5kA</t>
  </si>
  <si>
    <t>PT柜</t>
  </si>
  <si>
    <t>带电压互感器</t>
  </si>
  <si>
    <t>馈线断路器柜</t>
  </si>
  <si>
    <t>35kV，断路器1250A，31.5kA，三相避雷器及阻容吸收装置</t>
  </si>
  <si>
    <t>过电压保护柜</t>
  </si>
  <si>
    <t>35kV隔离开关</t>
  </si>
  <si>
    <t>35kV，电动/手动操作，31.5kA，1250A</t>
  </si>
  <si>
    <t>避雷器及阻容吸收装置</t>
  </si>
  <si>
    <t>随精炼炉变压器配套</t>
  </si>
  <si>
    <t>直流屏</t>
  </si>
  <si>
    <t>DC220V，65Ah</t>
  </si>
  <si>
    <t>综保后台系统</t>
  </si>
  <si>
    <t>监控后台</t>
  </si>
  <si>
    <t>低压供配电</t>
  </si>
  <si>
    <t>采用GGD固定式开关柜，包含受电柜、变频器柜等，考虑10%备用回路。</t>
  </si>
  <si>
    <t>变频调速装置</t>
  </si>
  <si>
    <t>SIEMENS G120系列,含制动单元、Profinet接口、电抗器及制动电阻</t>
  </si>
  <si>
    <t>G120(钢水罐车)</t>
  </si>
  <si>
    <t>G120C(振动给料机)</t>
  </si>
  <si>
    <t>G120(测温枪)</t>
  </si>
  <si>
    <t>G120(定氧枪)</t>
  </si>
  <si>
    <t>G120(横臂旋转)</t>
  </si>
  <si>
    <t>其他辅助设备</t>
  </si>
  <si>
    <t>IP54,100A</t>
  </si>
  <si>
    <t>现场端子箱</t>
  </si>
  <si>
    <t>IP54, 内装接线端子</t>
  </si>
  <si>
    <t>IP54,125A</t>
  </si>
  <si>
    <t>IP54,63A进线</t>
  </si>
  <si>
    <t>应急照明配电箱</t>
  </si>
  <si>
    <t>IP54,40A进线</t>
  </si>
  <si>
    <t>电动葫芦及空调开关箱</t>
  </si>
  <si>
    <t>接地端子箱</t>
  </si>
  <si>
    <t>室内型</t>
  </si>
  <si>
    <t>声光报警器</t>
  </si>
  <si>
    <t>红色:AC220V</t>
  </si>
  <si>
    <t>LF精炼炉UPS</t>
  </si>
  <si>
    <t>10kVA，后备时间30min</t>
  </si>
  <si>
    <t>LF炉自动化系统</t>
  </si>
  <si>
    <t>  1)</t>
  </si>
  <si>
    <t>PLC</t>
  </si>
  <si>
    <t>LF精炼炉所使用的PLC为西门子S7-1500系列，CPU选用1516-3 PN，I/O站采用西门子ET200MP。</t>
  </si>
  <si>
    <t>LF炉电极调节器</t>
  </si>
  <si>
    <t>含CPU: 1516-3 PN/DP 网卡、电源、主机架、存贮卡、微型断路器、中间继电器、隔离变送器、交换机等。</t>
  </si>
  <si>
    <t>LF炉炉体PLC</t>
  </si>
  <si>
    <t>含CPU: 1516-3 PN/DP 网卡、电源、主机架、存贮卡、微型断路器、中间继电器、隔离变送器等。</t>
  </si>
  <si>
    <t>LF炉I/O柜</t>
  </si>
  <si>
    <t>ET200MP（每套包含接口模块、输入/输出模块、特殊功能模块等。）</t>
  </si>
  <si>
    <t>LF炉喂丝机PLC</t>
  </si>
  <si>
    <t>机电一体品，工艺统一考虑，西门子1200系列PLC</t>
  </si>
  <si>
    <t>钢包底吹氩PLC</t>
  </si>
  <si>
    <t>操作台箱</t>
  </si>
  <si>
    <t>面板不锈钢，IP31</t>
  </si>
  <si>
    <t>操作台</t>
  </si>
  <si>
    <t>国内JT系列通用非标台体,1个计算机操作台，1个主操作台</t>
  </si>
  <si>
    <t>操作箱</t>
  </si>
  <si>
    <t>国内J*（F）通用非标箱体体，现场操作箱</t>
  </si>
  <si>
    <t>交换机</t>
  </si>
  <si>
    <t>国际主流品牌，支持环网</t>
  </si>
  <si>
    <t>网络设备附件</t>
  </si>
  <si>
    <t>HMI操作站、工程师站</t>
  </si>
  <si>
    <t>主流工控机，27" LCD液晶显示器</t>
  </si>
  <si>
    <t>应用软件</t>
  </si>
  <si>
    <t>Wincc8.0开发版（8K正版授权）</t>
  </si>
  <si>
    <t>Wincc8.0运行版（2K正版授权）</t>
  </si>
  <si>
    <t>PLC应用编程软件(博途授权)</t>
  </si>
  <si>
    <t>电缆</t>
  </si>
  <si>
    <t>ZC-YJV-0.6/1kV</t>
  </si>
  <si>
    <t>3*50 + 1*16</t>
  </si>
  <si>
    <t>3*35 + 1*16</t>
  </si>
  <si>
    <t>3*16 + 1*10</t>
  </si>
  <si>
    <t>3*10 + 2*6</t>
  </si>
  <si>
    <t>3*4 + 1*2.5</t>
  </si>
  <si>
    <t xml:space="preserve">4*2.5 </t>
  </si>
  <si>
    <t>1*70</t>
  </si>
  <si>
    <t>动力电缆软电缆</t>
  </si>
  <si>
    <t>ZC-YJVR-0.6/1kV</t>
  </si>
  <si>
    <t>ZC-BPYJVP-0.6/1kV</t>
  </si>
  <si>
    <t>3*70 + 1*35</t>
  </si>
  <si>
    <t>4*2.5</t>
  </si>
  <si>
    <t>ZC-KVVR-450/750V</t>
  </si>
  <si>
    <t>2*1.5</t>
  </si>
  <si>
    <t>3*1.5</t>
  </si>
  <si>
    <t>6*1.5</t>
  </si>
  <si>
    <t>10*1.5</t>
  </si>
  <si>
    <t>14*1.5</t>
  </si>
  <si>
    <t>控制屏蔽电缆</t>
  </si>
  <si>
    <t>ZC-KVVRP-450/750V</t>
  </si>
  <si>
    <t>7*1.5</t>
  </si>
  <si>
    <t>高温控制电缆</t>
  </si>
  <si>
    <t xml:space="preserve">ZC-KGGRP-450/750V  </t>
  </si>
  <si>
    <t>4*1.5</t>
  </si>
  <si>
    <t>电线</t>
  </si>
  <si>
    <t>BV-450/750V</t>
  </si>
  <si>
    <t>1*2.5</t>
  </si>
  <si>
    <t>1*4.0</t>
  </si>
  <si>
    <t>通讯电缆及附件</t>
  </si>
  <si>
    <t>以太网线电缆</t>
  </si>
  <si>
    <t>PROFINET电缆</t>
  </si>
  <si>
    <t>以太网接头</t>
  </si>
  <si>
    <t>PN头</t>
  </si>
  <si>
    <t>高压动力电缆</t>
  </si>
  <si>
    <t>ZC-YJV22-26/35kV：</t>
  </si>
  <si>
    <t>1*400</t>
  </si>
  <si>
    <t xml:space="preserve">高压电缆终端 </t>
  </si>
  <si>
    <t>NLS-35KV-1.2配1*400电缆</t>
  </si>
  <si>
    <t>安装材料</t>
  </si>
  <si>
    <t>槽式电缆桥架</t>
  </si>
  <si>
    <t>*QJ-C-1A-4;200*100</t>
  </si>
  <si>
    <t>*QJ-C-1A-7;400*200</t>
  </si>
  <si>
    <t>*QJ-C-1A-9;600*200</t>
  </si>
  <si>
    <t>桥架托臂</t>
  </si>
  <si>
    <t>*QJ-TB-01A-400</t>
  </si>
  <si>
    <t>*QJ-TB-01A-600</t>
  </si>
  <si>
    <t>水平等径弯通</t>
  </si>
  <si>
    <t>*QJ-C-2A-4;200*100</t>
  </si>
  <si>
    <t>*QJ-C-2A-7;400*200</t>
  </si>
  <si>
    <t>普通碳素钢镀锌电线管</t>
  </si>
  <si>
    <t>DN40</t>
  </si>
  <si>
    <t>DN32</t>
  </si>
  <si>
    <t>DN20</t>
  </si>
  <si>
    <t>PVC管</t>
  </si>
  <si>
    <t>桥架支撑</t>
  </si>
  <si>
    <t>热轧等边角钢5#；50*50*5</t>
  </si>
  <si>
    <t>热轧等边角钢5#；70*70*6</t>
  </si>
  <si>
    <t>操作箱安装架</t>
  </si>
  <si>
    <t>防火堵料</t>
  </si>
  <si>
    <t>柔性有机防火堵料</t>
  </si>
  <si>
    <t>m³</t>
  </si>
  <si>
    <t>轻质膨胀型有机防火堵料</t>
  </si>
  <si>
    <t>水性电缆防火涂料</t>
  </si>
  <si>
    <t>kg</t>
  </si>
  <si>
    <t>镀锌扁钢</t>
  </si>
  <si>
    <t>40*4</t>
  </si>
  <si>
    <t>接地铜线</t>
  </si>
  <si>
    <t>BV-500 95mm2，黄绿相间</t>
  </si>
  <si>
    <t>BV-500 16mm2，黄绿相间</t>
  </si>
  <si>
    <t>仪表</t>
  </si>
  <si>
    <t>压力和差压测量</t>
  </si>
  <si>
    <t>压力变送器</t>
  </si>
  <si>
    <t>就地压力表</t>
  </si>
  <si>
    <t>块</t>
  </si>
  <si>
    <t>温度测量</t>
  </si>
  <si>
    <t>一体化热电阻</t>
  </si>
  <si>
    <t>支</t>
  </si>
  <si>
    <t>双金属温度计</t>
  </si>
  <si>
    <t>流量测量</t>
  </si>
  <si>
    <t>电磁流量计</t>
  </si>
  <si>
    <t>流量开关</t>
  </si>
  <si>
    <t>铁合金称量</t>
  </si>
  <si>
    <t>称重仪表</t>
  </si>
  <si>
    <t>料位测量</t>
  </si>
  <si>
    <t>雷达物位计</t>
  </si>
  <si>
    <t>罗氏线圈</t>
  </si>
  <si>
    <t>2B</t>
  </si>
  <si>
    <t>精炼配电系统</t>
  </si>
  <si>
    <t>一级能效，S22，油浸式，10/0.4kV 1250kVA.</t>
  </si>
  <si>
    <t>3*2000A+1*1000A</t>
  </si>
  <si>
    <t>300kvar</t>
  </si>
  <si>
    <t>1600A</t>
  </si>
  <si>
    <t>母排：2000A。内装2个1000A断路器</t>
  </si>
  <si>
    <t>母排：2000A。</t>
  </si>
  <si>
    <t>水处理区域</t>
  </si>
  <si>
    <t>200kW</t>
  </si>
  <si>
    <t>90kW</t>
  </si>
  <si>
    <t>55kW</t>
  </si>
  <si>
    <t>变频器</t>
  </si>
  <si>
    <t>75kW，v/f型</t>
  </si>
  <si>
    <t>马达保护控制器</t>
  </si>
  <si>
    <t>22kW</t>
  </si>
  <si>
    <t>100A，IP54</t>
  </si>
  <si>
    <t>照明箱</t>
  </si>
  <si>
    <t>40A,IP54</t>
  </si>
  <si>
    <t>电动葫芦开关箱</t>
  </si>
  <si>
    <t>控制箱</t>
  </si>
  <si>
    <t>25A，IP54</t>
  </si>
  <si>
    <t>ZC-YJV-0.6/1kV 3*150+1*70</t>
  </si>
  <si>
    <t>ZC-YJV-0.6/1kV 3*70+1*35</t>
  </si>
  <si>
    <t>ZC-YJV-0.6/1kV 3*35+1*16</t>
  </si>
  <si>
    <t>ZC-YJV-0.6/1kV 4*16</t>
  </si>
  <si>
    <t>ZC-BPYJVP-0.6/1kV 3*50+2*25</t>
  </si>
  <si>
    <t>ZC-KVV-450/750V  10*1.5</t>
  </si>
  <si>
    <t>ZC-KVVP-450/750V  7*1.5</t>
  </si>
  <si>
    <t>80A（单极）</t>
  </si>
  <si>
    <t>零星钢材</t>
  </si>
  <si>
    <t>防雷接地</t>
  </si>
  <si>
    <t>照明</t>
  </si>
  <si>
    <t>水处理区域照明，LED</t>
  </si>
  <si>
    <t>除尘配电系统</t>
  </si>
  <si>
    <t>一级能效，S22，油浸式，10/0.4kV 2000kVA.</t>
  </si>
  <si>
    <t>3*3200A+1*1600A</t>
  </si>
  <si>
    <t>母排：3200A。</t>
  </si>
  <si>
    <t>除尘设施</t>
  </si>
  <si>
    <t>7A</t>
  </si>
  <si>
    <t>防爆照明配电箱</t>
  </si>
  <si>
    <t>50A进线</t>
  </si>
  <si>
    <t>100A进线，冷轧钢板+喷塑，IP54</t>
  </si>
  <si>
    <t>防爆检修电源箱</t>
  </si>
  <si>
    <t>断路器:100A(带漏电保护)</t>
  </si>
  <si>
    <t>32A进线，冷轧钢板+喷塑，IP54</t>
  </si>
  <si>
    <t>防爆动力配电箱</t>
  </si>
  <si>
    <t>断路器：25A</t>
  </si>
  <si>
    <t>一次除尘本体</t>
  </si>
  <si>
    <t>630A</t>
  </si>
  <si>
    <t>母排：630A。</t>
  </si>
  <si>
    <t>眼镜阀事故变频器</t>
  </si>
  <si>
    <t>5.5kW</t>
  </si>
  <si>
    <t>ZC-YJV-0.6/1kV 4*6</t>
  </si>
  <si>
    <t>ZC-KVV-450/750V            7*1.5</t>
  </si>
  <si>
    <t>ZC-KVVP-450/750V            7*1.5</t>
  </si>
  <si>
    <t>区域照明</t>
  </si>
  <si>
    <t>7C</t>
  </si>
  <si>
    <t>煤冷水泵房</t>
  </si>
  <si>
    <t>7C.1</t>
  </si>
  <si>
    <t>20A进线，IP54</t>
  </si>
  <si>
    <t>32A进线，IP54</t>
  </si>
  <si>
    <t>MCC控制柜</t>
  </si>
  <si>
    <t>母排630A。</t>
  </si>
  <si>
    <t>7C.2</t>
  </si>
  <si>
    <t xml:space="preserve">电力电缆  </t>
  </si>
  <si>
    <t>ZR-YJV-1000 3*185+1*95</t>
  </si>
  <si>
    <t>ZR-YJV-1000 3*70+2*35</t>
  </si>
  <si>
    <t>ZR-YJV-1000 5*35</t>
  </si>
  <si>
    <t>ZR-YJV-1000 5*6</t>
  </si>
  <si>
    <t>ZR-YJV-1000 3*150+1*70</t>
  </si>
  <si>
    <t>ZR-YJV-1000 3*70+1*35</t>
  </si>
  <si>
    <t>ZR-YJV-1000 3*35+1*25</t>
  </si>
  <si>
    <t>ZR-YJV-1000 4*4</t>
  </si>
  <si>
    <t>ZR-YJV-1000 4*2.5</t>
  </si>
  <si>
    <t xml:space="preserve">控制电缆 </t>
  </si>
  <si>
    <t>ZR-KVV-500 14*1.5</t>
  </si>
  <si>
    <t>ZR-KVVP-500 10*1.5</t>
  </si>
  <si>
    <t>桥架</t>
  </si>
  <si>
    <t>角钢、型钢、槽钢等</t>
  </si>
  <si>
    <t>水池区域照明</t>
  </si>
  <si>
    <t>7B</t>
  </si>
  <si>
    <t>环境除尘</t>
  </si>
  <si>
    <t>母排400A。</t>
  </si>
  <si>
    <t>ZR-YJV-1000 3*50+2*25</t>
  </si>
  <si>
    <t>ZR-YJV-1000 4*10</t>
  </si>
  <si>
    <t>ZR-KVVP-500 14*1.5</t>
  </si>
  <si>
    <t>ZR-KVV-500 7*1.5</t>
  </si>
  <si>
    <t>风机区域照明</t>
  </si>
  <si>
    <t>40A进线，IP54，不锈钢</t>
  </si>
  <si>
    <t>排水泵控制箱</t>
  </si>
  <si>
    <t>20A进线，IP54，不锈钢</t>
  </si>
  <si>
    <t>照明灯具</t>
  </si>
  <si>
    <t>100W 路灯</t>
  </si>
  <si>
    <t>ZC-YJV-0.6/1kV 5*4</t>
  </si>
  <si>
    <t>ZC-YJV-0.6/1kV 5*6</t>
  </si>
  <si>
    <t>ZC-KVVR-450/750V 14*1.5</t>
  </si>
  <si>
    <t>其它</t>
  </si>
  <si>
    <t>含炼钢主厂房及本体\KR、水处理、除尘等系统，国产品牌</t>
  </si>
  <si>
    <t>消防应急照明电源</t>
  </si>
  <si>
    <t>消防电源切换箱</t>
  </si>
  <si>
    <t>ATS 40A，冷轧钢板+喷塑，IP42</t>
  </si>
  <si>
    <t>PLC接地端子箱</t>
  </si>
  <si>
    <t>冷轧钢板+喷塑，IP42</t>
  </si>
  <si>
    <t>检化验接地端子箱</t>
  </si>
  <si>
    <t>PLC接地铜板</t>
  </si>
  <si>
    <t>1m*1m*5mm</t>
  </si>
  <si>
    <t>管径：20</t>
  </si>
  <si>
    <t>管径：70</t>
  </si>
  <si>
    <t>上料系统</t>
  </si>
  <si>
    <t>仪表设备</t>
  </si>
  <si>
    <t>(1)</t>
  </si>
  <si>
    <t>雷达料位计</t>
  </si>
  <si>
    <t>FMCW，频率≥78Ghz。输出：4～20mA，带Hart通讯，带吹扫功能，带万向节法兰、安装法兰、垫片和紧固件等安装附件</t>
  </si>
  <si>
    <t>(2)</t>
  </si>
  <si>
    <t>(3)</t>
  </si>
  <si>
    <t>皮带秤</t>
  </si>
  <si>
    <t>四托辊皮带秤,BW=800mm，Q=200t/h，V=1.6m/s,带仪表箱，自动调零和量程校准，输出4-20mA+累积脉冲，精度±0.5%。带挂码校秤装置。</t>
  </si>
  <si>
    <t>(4)</t>
  </si>
  <si>
    <t>隔离配电器</t>
  </si>
  <si>
    <t>输入输出：4～20mADC，电源：24VDC</t>
  </si>
  <si>
    <t>(5)</t>
  </si>
  <si>
    <t>自动化用隔离配电器</t>
  </si>
  <si>
    <t>(6)</t>
  </si>
  <si>
    <t>气源用仪表阀门</t>
  </si>
  <si>
    <t>不锈钢球阀，DN15-φ10，PN16</t>
  </si>
  <si>
    <t>仪表材料</t>
  </si>
  <si>
    <t>阻燃铜芯聚氯乙烯绝缘聚氯乙烯护套编织屏蔽控制软电缆</t>
  </si>
  <si>
    <t>ZC-KVVRP 2×1.5mm2</t>
  </si>
  <si>
    <t>阻燃交联聚乙烯绝缘聚氯乙烯护套电力软电缆</t>
  </si>
  <si>
    <t>ZC-YJV 2×2.5mm2</t>
  </si>
  <si>
    <t>镀锌金属软管及接头(1米)</t>
  </si>
  <si>
    <t>角钢</t>
  </si>
  <si>
    <t>L50×50×5</t>
  </si>
  <si>
    <t>DN15</t>
  </si>
  <si>
    <t>(7)</t>
  </si>
  <si>
    <t>紫铜管</t>
  </si>
  <si>
    <t>Φ10×1</t>
  </si>
  <si>
    <t>铁水脱硫装置</t>
  </si>
  <si>
    <t>铁水手动测温仪</t>
  </si>
  <si>
    <t>S型，快速测温，含5米手动测温枪。测温范围1100～1600℃,带大屏幕，50支测温管</t>
  </si>
  <si>
    <t>钢丝绳张力计</t>
  </si>
  <si>
    <t>10t旁压式张力传感器，带二次表及专用电缆，输出4~20mA，带保护箱</t>
  </si>
  <si>
    <t>耐振压力表</t>
  </si>
  <si>
    <t>表壳直径Φ100，精度等级1.0级，外壳材质铝合金，防护等级IP65</t>
  </si>
  <si>
    <t>输出：4～20mADC二线制，带Hart通讯，防护等级：IP67，外壳材质：铝合金。LCD数显</t>
  </si>
  <si>
    <t>Hart协议手操器</t>
  </si>
  <si>
    <t>气动调节阀</t>
  </si>
  <si>
    <t>PN16，工艺管径：DN65，单座阀。碳钢阀体，不锈钢阀内件。配套空气过滤减压阀、智能定位器、手轮机构，碳钢配对法兰及连接件，泄漏等级IV，IP65</t>
  </si>
  <si>
    <t>PN16，工艺管径：DN25，单座阀。碳钢阀体，不锈钢阀内件。配套空气过滤减压阀、智能定位器、手轮机构，碳钢配对法兰及连接件，泄漏等级IV，IP65</t>
  </si>
  <si>
    <t>(8)</t>
  </si>
  <si>
    <t>一体化孔板流量计</t>
  </si>
  <si>
    <t>PN16，DN80，对夹式，碳钢配对法兰，不锈钢孔板片，配套紧固件，不锈钢三阀组，配套差压变送器，输出：4～20mADC二线制，带Hart通讯，防护等级：IP67，外壳材质：铝合金。</t>
  </si>
  <si>
    <t>(9)</t>
  </si>
  <si>
    <t>PN16，DN25，对夹式，碳钢配对法兰，不锈钢孔板片，配套紧固件，不锈钢三阀组，配套差压变送器，输出：4～20mADC二线制，带Hart通讯，防护等级：IP67，外壳材质：铝合金。</t>
  </si>
  <si>
    <t>(10)</t>
  </si>
  <si>
    <t>PN16，DN65，对夹式，碳钢配对法兰，不锈钢孔板片，配套紧固件，不锈钢三阀组，配套差压变送器，输出：4～20mADC二线制，带Hart通讯，防护等级：IP67，外壳材质：铝合金。</t>
  </si>
  <si>
    <t>(11)</t>
  </si>
  <si>
    <t>PN16，DN50，对夹式，碳钢配对法兰，不锈钢孔板片，配套紧固件，不锈钢三阀组，配套差压变送器，输出：4～20mADC二线制，带Hart通讯，防护等级：IP67，外壳材质：铝合金。</t>
  </si>
  <si>
    <t>(12)</t>
  </si>
  <si>
    <t>气动切断阀</t>
  </si>
  <si>
    <t>DN25，PN16，球阀，阀体碳钢材质，不锈钢阀内件。IP65，泄露等级：VI,配套手轮机构、电磁阀、空气过滤减压阀、行程开关、电源：24VDC，碳钢配对法兰及连接件</t>
  </si>
  <si>
    <t>(13)</t>
  </si>
  <si>
    <t>DN100，PN25，蝶阀，阀体碳钢材质，不锈钢阀内件。IP65，泄露等级：VI,配套手轮机构、电磁阀、空气过滤减压阀、行程开关、电源：24VDC，碳钢配对法兰及连接件</t>
  </si>
  <si>
    <t>(14)</t>
  </si>
  <si>
    <t>DN65，PN16，球阀，阀体碳钢材质，不锈钢阀内件。IP65，泄露等级：VI,配套手轮机构、电磁阀、空气过滤减压阀、行程开关、电源：24VDC，碳钢配对法兰及连接件</t>
  </si>
  <si>
    <t>(15)</t>
  </si>
  <si>
    <t>DN50，PN16，球阀，阀体碳钢材质，不锈钢阀内件。IP65，泄露等级：VI,配套手轮机构、电磁阀、空气过滤减压阀、行程开关、电源：24VDC，碳钢配对法兰及连接件</t>
  </si>
  <si>
    <t>(16)</t>
  </si>
  <si>
    <t>音叉料位开关</t>
  </si>
  <si>
    <t>侧装式，探杆材质：316L；插入长度：300mm；叉体长度：100mm；转换器外壳：铝合金；带安装法兰、垫片和紧固件等安装附件</t>
  </si>
  <si>
    <t>(17)</t>
  </si>
  <si>
    <t>料斗秤</t>
  </si>
  <si>
    <t>3个60t数字式称重传感器（带自诊断），精度C3；带接线盒及专用电缆。带仪表箱，二次表，输出4~20mA。</t>
  </si>
  <si>
    <t>(18)</t>
  </si>
  <si>
    <t>3个40t数字式称重传感器（带自诊断），精度C3；带接线盒及专用电缆。带仪表箱，二次表，输出4~20mA。</t>
  </si>
  <si>
    <t>(19)</t>
  </si>
  <si>
    <t>3个2t数字式称重传感器（带自诊断），精度C3；带接线盒及专用电缆。带仪表箱，二次表，输出4~20mA。</t>
  </si>
  <si>
    <t>(20)</t>
  </si>
  <si>
    <t>3个3t数字式称重传感器（带自诊断），精度C3；带接线盒及专用电缆。带仪表箱，二次表，输出4~20mA。</t>
  </si>
  <si>
    <t>(21)</t>
  </si>
  <si>
    <t>校秤装置</t>
  </si>
  <si>
    <t>包括3台机械式千斤顶、3个高精度称量传感器，校验仪。</t>
  </si>
  <si>
    <t>(22)</t>
  </si>
  <si>
    <t>FMCW，频率≥78Ghz，发射角≤4°。输出：4～20mA，带Hart通讯，带吹扫冷却装置，带万向节法兰、安装法兰、垫片和紧固件等安装附件</t>
  </si>
  <si>
    <t>(23)</t>
  </si>
  <si>
    <t>(24)</t>
  </si>
  <si>
    <t>传动用隔离配电器</t>
  </si>
  <si>
    <t>(25)</t>
  </si>
  <si>
    <t>(26)</t>
  </si>
  <si>
    <t>取压用仪表阀门</t>
  </si>
  <si>
    <t>不锈钢外螺纹球阀，DN15，PN16</t>
  </si>
  <si>
    <t>(27)</t>
  </si>
  <si>
    <t>ZC-KVVRP 5×1.5mm2</t>
  </si>
  <si>
    <t>Φ14×2,不锈钢</t>
  </si>
  <si>
    <t>钢板</t>
  </si>
  <si>
    <t>δ＝1.5</t>
  </si>
  <si>
    <t/>
  </si>
  <si>
    <t>副原料和铁合金加料系统</t>
  </si>
  <si>
    <t>3个10t数字式称重传感器（带自诊断），精度C3；带接线盒及专用电缆。带仪表箱，二次表，输出4~20mA。</t>
  </si>
  <si>
    <t>3个5t数字式称重传感器（带自诊断），精度C3；带接线盒及专用电缆。带仪表箱，二次表，输出4~20mA。</t>
  </si>
  <si>
    <t>3个7t数字式称重传感器（带自诊断），精度C3；带接线盒及专用电缆。带仪表箱，二次表，输出4~20mA。</t>
  </si>
  <si>
    <t>转炉本体水冷系统</t>
  </si>
  <si>
    <t>DN200，PN25，一体式，精度±0.2%，内村材质橡胶，输出：4～20mADC，带数显表，带碳钢配对法兰，配对标定</t>
  </si>
  <si>
    <t>带热电阻一体化温度变送器</t>
  </si>
  <si>
    <t>Pt100，不锈钢保护管，铝外壳，输出：4~20mA，带安装底座</t>
  </si>
  <si>
    <t>DN150，PN16。套筒阀，碳钢阀体，配套空气过滤减压阀、电气阀门定位器、手轮机构，带碳钢配对法兰</t>
  </si>
  <si>
    <t>DN80，PN16。套筒阀，不锈钢阀体，配套空气过滤减压阀、电气阀门定位器、手轮机构，带不锈钢配对法兰</t>
  </si>
  <si>
    <t>DN100，PN16。套筒阀，不锈钢阀体，配套空气过滤减压阀、电气阀门定位器、手轮机构，带不锈钢配对法兰</t>
  </si>
  <si>
    <t>一体化多孔孔板平衡流量计</t>
  </si>
  <si>
    <t>PN16，DN200，对夹式，碳钢配对法兰，不锈钢孔板片，配套紧固件，不锈钢三阀组，配套差压变送器，输出：4～20mADC二线制，带Hart通讯，防护等级：IP67，外壳材质：铝合金。</t>
  </si>
  <si>
    <t>PN16，DN100，对夹式，不锈钢配对法兰，不锈钢孔板片，配套紧固件，不锈钢三阀组，配套差压变送器，输出：4～20mADC二线制，带Hart通讯，防护等级：IP67，外壳材质：铝合金。</t>
  </si>
  <si>
    <t>PN16，DN50，对夹式，不锈钢配对法兰，不锈钢孔板片，配套紧固件，不锈钢三阀组，配套差压变送器，输出：4～20mADC二线制，带Hart通讯，防护等级：IP67，外壳材质：铝合金。</t>
  </si>
  <si>
    <t>PN16，DN65，对夹式，不锈钢配对法兰，不锈钢孔板片，配套紧固件，不锈钢三阀组，配套差压变送器，输出：4～20mADC二线制，带Hart通讯，防护等级：IP67，外壳材质：铝合金。</t>
  </si>
  <si>
    <t>PN16，DN125，对夹式，不锈钢配对法兰，不锈钢孔板片，配套紧固件，不锈钢三阀组，配套差压变送器，输出：4～20mADC二线制，带Hart通讯，防护等级：IP67，外壳材质：铝合金。</t>
  </si>
  <si>
    <t>DN200，PN16，三偏心蝶阀，阀体碳钢材质，不锈钢阀内件。IP65，泄露等级：VI,配套手轮机构、电磁阀、空气过滤减压阀、行程开关、电源：24VDC，碳钢配对法兰及连接件</t>
  </si>
  <si>
    <t>转炉底吹系统</t>
  </si>
  <si>
    <t>DN80，PN40，球阀，阀体碳钢材质，不锈钢阀内件。IP65，泄露等级：VI,配套手轮机构、电磁阀、空气过滤减压阀、行程开关、电源：24VDC，碳钢配对法兰及连接件</t>
  </si>
  <si>
    <t>DN65，PN40。单座阀，碳钢阀体，配套空气过滤减压阀、电气阀门定位器、手轮机构，带碳钢配对法兰</t>
  </si>
  <si>
    <t>热式质量流量控制器</t>
  </si>
  <si>
    <t>一体化阀站内配管及框架</t>
  </si>
  <si>
    <t>含阀站内配管（不锈钢）及框架，手动阀，分配器，端子箱等全部设备</t>
  </si>
  <si>
    <t>转炉氧枪氧气、氮气系统</t>
  </si>
  <si>
    <t>A</t>
  </si>
  <si>
    <t>氧枪氧气阀站</t>
  </si>
  <si>
    <t>Pt100，不锈钢保护管，铝外壳，输出：4~20mA，带安装底座，脱脂禁油</t>
  </si>
  <si>
    <t>输出：4～20mADC二线制，带Hart通讯，防护等级：IP67，外壳材质：铝合金。LCD数显，脱脂禁油。</t>
  </si>
  <si>
    <t>DN350，PN40，套筒阀，阀体不锈钢材质，不锈钢阀内件。IP65，泄露等级：VI,配套手轮机构、电磁阀、空气过滤减压阀、行程开关、电源：24VDC，不锈钢配对法兰及连接件，脱脂禁油。</t>
  </si>
  <si>
    <t>DN300，PN40。套筒阀，不锈钢阀体，配套空气过滤减压阀、电气阀门定位器、手轮机构，带不锈钢配对法兰，脱脂禁油</t>
  </si>
  <si>
    <t>PN40，DN350，对夹式，不锈钢配对法兰，不锈钢孔板片，配套紧固件，不锈钢三阀组，配套差压变送器，输出：4～20mADC二线制，带Hart通讯，防护等级：IP67，外壳材质：铝合金，脱脂禁油。</t>
  </si>
  <si>
    <t>B</t>
  </si>
  <si>
    <t>氧枪氮气阀站</t>
  </si>
  <si>
    <t>DN350，PN40，三偏心蝶阀，阀体碳钢材质，不锈钢阀内件。IP65，泄露等级：VI,配套手轮机构、电磁阀、空气过滤减压阀、行程开关、电源：24VDC，不锈钢配对法兰及连接件，脱脂禁油。</t>
  </si>
  <si>
    <t>DN25，PN40，球阀，阀体碳钢材质，不锈钢阀内件。IP65，泄露等级：VI,配套手轮机构、电磁阀、空气过滤减压阀、行程开关、电源：24VDC，不锈钢配对法兰及连接件，脱脂禁油。</t>
  </si>
  <si>
    <t>DN300，PN40。套筒阀，碳钢阀体，配套空气过滤减压阀、电气阀门定位器、手轮机构，带不锈钢配对法兰，脱脂禁油</t>
  </si>
  <si>
    <t>PN40，DN350，对夹式，碳钢配对法兰，不锈钢孔板片，配套紧固件，不锈钢三阀组，配套差压变送器，输出：4～20mADC二线制，带Hart通讯，防护等级：IP67，外壳材质：铝合金，脱脂禁油。</t>
  </si>
  <si>
    <t>转炉氧枪冷却水系统</t>
  </si>
  <si>
    <t>DN300，PN25，一体式，精度±0.2%，内村材质橡胶，输出：4～20mADC，带数显表，带碳钢配对法兰，配对标定</t>
  </si>
  <si>
    <t>DN300，PN25，三偏心蝶阀，阀体碳钢材质，不锈钢阀内件。IP65，泄露等级：VI,配套手轮机构、电磁阀、空气过滤减压阀、行程开关、电源：24VDC，碳钢配对法兰及连接件</t>
  </si>
  <si>
    <t>转炉铁水、钢水测温</t>
  </si>
  <si>
    <t>铁水测温仪</t>
  </si>
  <si>
    <t>钢水测温仪</t>
  </si>
  <si>
    <t>B型，快速测温，含5米手动测温枪。测温范围1200～1800℃,带大屏幕，50支测温管</t>
  </si>
  <si>
    <t>其他</t>
  </si>
  <si>
    <t>机电一体品，废钢运输车自带</t>
  </si>
  <si>
    <t>通道式车辆放射性监测系统</t>
  </si>
  <si>
    <t>门式传感器组件箱体：含塑料闪烁体探测器、主控单元、通道占用传感装置、声光报警装置等，防护等级：IP67，电源220VAC，带1台高清数字枪机摄像头和监控软件，带嵌入式计算机，带全套安装附件。探测对人体有害、对炼钢不利的放射性元素，变送器输出：4～20mA和RS485、以太网信号，带Hart/Modbus-RTU、Modbus-TCP通讯</t>
  </si>
  <si>
    <t>烟气分析系统</t>
  </si>
  <si>
    <t>分析小屋</t>
  </si>
  <si>
    <t>正压防爆</t>
  </si>
  <si>
    <t>金属转子流量计</t>
  </si>
  <si>
    <t>DN32，PN25，现场显示。精度等级2.0级，外壳材质不锈钢，防护等级IP65</t>
  </si>
  <si>
    <t>设备自带</t>
  </si>
  <si>
    <t>不锈钢外螺纹球阀，DN15，PN40</t>
  </si>
  <si>
    <t>伴热配电箱</t>
  </si>
  <si>
    <t>玻璃钢，H600×W600×D300，IP55
内装5只小型断路器和20只普通接线端子</t>
  </si>
  <si>
    <t>仪表保护箱</t>
  </si>
  <si>
    <t>尺寸600x500x500，IP54，材质：玻璃钢，厚度2mm，不含管阀件。含温度传感器（PT100），智能温控器带显示屏，RS485通讯接口。</t>
  </si>
  <si>
    <t>槽钢</t>
  </si>
  <si>
    <t>[10</t>
  </si>
  <si>
    <t>电伴热带</t>
  </si>
  <si>
    <t>220VAC，30W/m。带接线盒、全套保温材料及安装附件。</t>
  </si>
  <si>
    <t>副枪系统</t>
  </si>
  <si>
    <t>5t旁压式张力传感器，带二次表及专用电缆，输出4~20mA，带保护箱</t>
  </si>
  <si>
    <t>副枪测温定氧定碳仪</t>
  </si>
  <si>
    <t>含1台副枪仪表、接插件、加持管、螺旋导线、枪内补偿导线50米、枪外补偿导线200米、TSC探头50支、TSO探头50支。带PN接口和状态输出模板</t>
  </si>
  <si>
    <t>定氧定碳仪柜</t>
  </si>
  <si>
    <t>玻璃钢，H2200×W600×D800，IP31
室内安装</t>
  </si>
  <si>
    <t>尺寸400x400x250，IP54，材质：玻璃钢</t>
  </si>
  <si>
    <t>DN100，PN25，一体式，精度±0.2%，内村材质橡胶，输出：4～20mADC，带数显表，带碳钢配对法兰，配对标定</t>
  </si>
  <si>
    <t>DN50，PN25，一体式，精度±0.2%，内村材质橡胶，输出：4～20mADC，带数显表，带碳钢配对法兰，配对标定</t>
  </si>
  <si>
    <t>DN50，PN16，带差压变送器和三阀组，输出：4～20mADC+Hart，带碳钢配对法兰</t>
  </si>
  <si>
    <t>DN100，PN25。球阀，碳钢阀体，配套空气过滤减压阀、电磁阀、行程开关、手轮机构，带碳钢配对法兰</t>
  </si>
  <si>
    <t>DN50，PN25。球阀，碳钢阀体，配套空气过滤减压阀、电磁阀、行程开关、手轮机构，带碳钢配对法兰</t>
  </si>
  <si>
    <t>DN50，PN16。球阀，碳钢阀体，配套空气过滤减压阀、电磁阀、行程开关、手轮机构，带碳钢配对法兰</t>
  </si>
  <si>
    <t>不锈钢外螺纹球阀，DN15，PN25</t>
  </si>
  <si>
    <t>ZC-KVVRP 7×1.5mm2</t>
  </si>
  <si>
    <t>转炉余热锅炉系统</t>
  </si>
  <si>
    <t>给水除氧系统</t>
  </si>
  <si>
    <t>设备自带,信号远传</t>
  </si>
  <si>
    <t>孔板</t>
  </si>
  <si>
    <t>DN150,PN40，不锈钢孔板，带碳钢配对法兰</t>
  </si>
  <si>
    <t>DN125,PN25，不锈钢孔板，带碳钢配对法兰</t>
  </si>
  <si>
    <t>差压变送器</t>
  </si>
  <si>
    <t>输出：4～20mADC二线制，带Hart通讯，防护等级：IP67，外壳材质：铝合金。LCD数显，精度±0.075%。带不锈钢三阀组。</t>
  </si>
  <si>
    <t>表壳直径Φ100，外壳材质铝合金</t>
  </si>
  <si>
    <t>DN100，PN64，套筒阀，阀体碳钢，工作介质温度：热水，IP65，泄露等级：IV,配套手轮机构、空气过滤减压阀、碳钢配对法兰及连接件，全套安装附件。智能定位器，带4~20mA反馈</t>
  </si>
  <si>
    <t>DN100，PN16，套筒阀，阀体碳钢，工作介质温度：水，IP65，泄露等级：IV,配套手轮机构、空气过滤减压阀、碳钢配对法兰及连接件，全套安装附件。智能定位器，带4~20mA反馈</t>
  </si>
  <si>
    <t>蒸汽系统</t>
  </si>
  <si>
    <t>喷嘴流量计</t>
  </si>
  <si>
    <t>DN350,PN40，不锈钢节流件，带碳钢配对法兰</t>
  </si>
  <si>
    <t>DN150,PN25，不锈钢节流件，带碳钢配对法兰</t>
  </si>
  <si>
    <t>DN250，PN40，套筒阀，阀体碳钢，工作介质温度：蒸汽，IP65，泄露等级：IV,配套手轮机构、空气过滤减压阀、碳钢配对法兰及连接件，全套安装附件。智能定位器，带4~20mA反馈</t>
  </si>
  <si>
    <t>DN100，PN25，套筒阀，阀体碳钢，工作介质温度：蒸汽，IP65，泄露等级：IV,配套手轮机构、空气过滤减压阀、碳钢配对法兰及连接件，全套安装附件。智能定位器，带4~20mA反馈</t>
  </si>
  <si>
    <t>DN250,PN40，不锈钢孔板，带碳钢配对法兰</t>
  </si>
  <si>
    <t>DN300,PN40，不锈钢孔板，带碳钢配对法兰</t>
  </si>
  <si>
    <t>DN200,PN16，不锈钢孔板，带碳钢配对法兰</t>
  </si>
  <si>
    <t>DN50,PN16，不锈钢孔板，带碳钢配对法兰</t>
  </si>
  <si>
    <t>DN65,PN16，不锈钢孔板，带碳钢配对法兰</t>
  </si>
  <si>
    <t>排污、工业水系统</t>
  </si>
  <si>
    <t>DN125,PN16，不锈钢孔板，带碳钢配对法兰</t>
  </si>
  <si>
    <t>不锈钢外螺纹球阀，DN15，PN64</t>
  </si>
  <si>
    <t>玻璃钢，H600×W600×D300，IP55
内装15只小型断路器和40只普通接线端子</t>
  </si>
  <si>
    <t>一体化气控装置</t>
  </si>
  <si>
    <t>钢水测温定氧仪</t>
  </si>
  <si>
    <t>测量范围0～2000ppm，1200～1800℃。含5米测温定氧枪，二次表，显示大屏，喇叭，补偿导线50米，定氧探头50支</t>
  </si>
  <si>
    <t>水处理</t>
  </si>
  <si>
    <t>炼钢软水系统</t>
  </si>
  <si>
    <t>DN300,PN25，分体式，精度±0.5%，内村材质橡胶，输出：4～20mADC，带数显表，带碳钢配对法兰，带仪表保护箱，箱体材质碳钢喷塑。</t>
  </si>
  <si>
    <t>DN300,PN16，分体式，精度±0.5%，内村材质橡胶，输出：4～20mADC，带数显表，带碳钢配对法兰，带仪表保护箱，箱体材质碳钢喷塑。</t>
  </si>
  <si>
    <t>涡轮流量计</t>
  </si>
  <si>
    <t>DN50,PN16，分体式，精度±0.5%，内村材质橡胶，输出：4～20mADC，带数显表，带碳钢配对法兰，带仪表保护箱，箱体材质碳钢喷塑。</t>
  </si>
  <si>
    <t>电导率计</t>
  </si>
  <si>
    <t>带探头，变送器，手动球阀，保护箱等。电源：220V AC，输出：4~20mA</t>
  </si>
  <si>
    <t>雷达液位计</t>
  </si>
  <si>
    <t>两线制，频率≥26GHz，输出4~20mA</t>
  </si>
  <si>
    <t>炼钢净环水系统</t>
  </si>
  <si>
    <t>DN250,PN16，分体式，精度±0.5%，内村材质橡胶，输出：4～20mADC，带数显表，带碳钢配对法兰，带仪表保护箱，箱体材质碳钢喷塑。</t>
  </si>
  <si>
    <t>DN400,PN16，分体式，精度±0.5%，内村材质橡胶，输出：4～20mADC，带数显表，带碳钢配对法兰，带仪表保护箱，箱体材质碳钢喷塑。</t>
  </si>
  <si>
    <t>DN200,PN16，分体式，精度±0.5%，内村材质橡胶，输出：4～20mADC，带数显表，带碳钢配对法兰，带仪表保护箱，箱体材质碳钢喷塑。</t>
  </si>
  <si>
    <t>DN150,PN16，分体式，精度±0.5%，内村材质橡胶，输出：4～20mADC，带数显表，带碳钢配对法兰，带仪表保护箱，箱体材质碳钢喷塑。</t>
  </si>
  <si>
    <t>DN100,PN16，分体式，精度±0.5%，内村材质橡胶，输出：4～20mADC，带数显表，带碳钢配对法兰，带仪表保护箱，箱体材质碳钢喷塑。</t>
  </si>
  <si>
    <t>*冷却塔油温、油位、振动</t>
  </si>
  <si>
    <t>表壳直径Φ100，外壳材质不锈钢</t>
  </si>
  <si>
    <t>一次除尘浊循环水系统</t>
  </si>
  <si>
    <t>尺寸600x500x500，IP54，材质：玻璃钢，厚度2mm，不含管阀件</t>
  </si>
  <si>
    <t>车间及外部管线</t>
  </si>
  <si>
    <t>外部管线</t>
  </si>
  <si>
    <t>DN300,PN16，分体式，精度±0.5%，内村材质橡胶，输出：4～20mA，带Hart/Modbus-RTU通讯，带数显表，带碳钢配对法兰，带仪表保护箱，箱体材质碳钢喷塑。</t>
  </si>
  <si>
    <t>DN200,PN16，分体式，精度±0.5%，内村材质橡胶，输出：4～20mA，带Hart/Modbus-RTU通讯，带数显表，带碳钢配对法兰，带仪表保护箱，箱体材质碳钢喷塑。</t>
  </si>
  <si>
    <t>DN100,PN16，分体式，精度±0.5%，内村材质橡胶，输出：4～20mA，带Hart/Modbus-RTU通讯，带数显表，带碳钢配对法兰，带仪表保护箱，箱体材质碳钢喷塑。</t>
  </si>
  <si>
    <t>消防泵房</t>
  </si>
  <si>
    <t>玻璃钢，H600×W600×D300，IP55
内装17只小型断路器和40只普通接线端子</t>
  </si>
  <si>
    <t>除尘系统</t>
  </si>
  <si>
    <t>一次除尘：蒸发冷却器（塔楼内）</t>
  </si>
  <si>
    <t>测量范围0～3m，精度±10mm。雷达频率：≥26GHz脉冲式；输出：4～20mADC二线制，外壳材质：铝合金。LCD数显。隔爆型。</t>
  </si>
  <si>
    <t>输出：4～20mADC二线制，带Hart通讯，防护等级：IP67，外壳材质：铝合金。LCD数显，隔爆型</t>
  </si>
  <si>
    <t>输出4～20mADC二线制，带Hart通讯，IP67，铝外壳，带数显表、三阀组，隔爆型</t>
  </si>
  <si>
    <t>微差压变送器</t>
  </si>
  <si>
    <t>DN150，PN16，三偏心蝶阀，阀体碳钢，工作介质蒸汽、温度：245°C，IP65，泄露等级：VI,配套手轮机构、电磁阀、空气过滤减压阀、行程开关、电源：24VDC，碳钢配对法兰及连接件，全套安装附件，隔爆型</t>
  </si>
  <si>
    <t>DN150，PN16，三偏心蝶阀，阀体碳钢，工作介质冷却水、温度：常温，IP65，泄露等级：VI,配套手轮机构、电磁阀、空气过滤减压阀、行程开关、电源：24VDC，碳钢配对法兰及连接件，全套安装附件，隔爆型</t>
  </si>
  <si>
    <t>DN25，PN16，球阀，阀体碳钢，工作介质温度：常温IP65，泄露等级：VI,配套手轮机构、电磁阀、空气过滤减压阀、行程开关、电源：24VDC，碳钢配对法兰及连接件，全套安装附件，隔爆型</t>
  </si>
  <si>
    <t>DN100，PN16，套筒阀，阀体碳钢，工作介质冷却水、温度：常温，泄露等级：IV,配套手轮机构、空气过滤减压阀、碳钢配对法兰及连接件，全套安装附件。智能定位器，带4~20mA反馈，隔爆型</t>
  </si>
  <si>
    <t>热电偶</t>
  </si>
  <si>
    <t>N分度，保护管Inconel 600，耐磨型，输出4～20mADC，带Hart通讯，带DN50不锈钢配对法兰，隔爆型</t>
  </si>
  <si>
    <t>K分度，保护管Inconel 600，耐磨型，输出4～20mADC，带Hart通讯，带DN50不锈钢配对法兰，隔爆型</t>
  </si>
  <si>
    <t>DN150，PN16，一体式，精度±0.5%，内村材质橡胶，输出：4～20mADC，带数显表，带碳钢配对法兰，隔爆型</t>
  </si>
  <si>
    <t>DN40，PN16，一体式，精度±0.5%，内村材质橡胶，输出：4～20mADC，带数显表，带碳钢配对法兰，隔爆型</t>
  </si>
  <si>
    <t>DN150,PN16，不锈钢环室孔板，带碳钢配对法兰</t>
  </si>
  <si>
    <t>防爆配电箱</t>
  </si>
  <si>
    <t>尺寸600x800x500，IP54，材质：玻璃钢，厚度2mm，含20个6A断路器</t>
  </si>
  <si>
    <t>一次除尘：粗灰系统（塔楼内）</t>
  </si>
  <si>
    <t>DN50，PN16，现场显示。精度等级2.0级，外壳材质不锈钢，防护等级IP65</t>
  </si>
  <si>
    <t>自力式调节阀</t>
  </si>
  <si>
    <t>DN32，PN16。阀后压力型，碳钢阀体，带碳钢配对法兰</t>
  </si>
  <si>
    <t>一次除尘：静电除尘器系统（设备区）</t>
  </si>
  <si>
    <t>Pt100，不锈钢保护管，铝外壳，输出：4~20mA，带安装底座，隔爆型</t>
  </si>
  <si>
    <t>DN80，PN16，带差压变送器和三阀组，输出：4～20mA，带Hart通讯，带碳钢配对法兰，隔爆型</t>
  </si>
  <si>
    <t>DN25，PN16。阀后压力型，碳钢阀体，带碳钢配对法兰</t>
  </si>
  <si>
    <t>DN80，PN16。阀后压力型，碳钢阀体，带碳钢配对法兰</t>
  </si>
  <si>
    <t>一次除尘：细灰仓系统（设备区）</t>
  </si>
  <si>
    <t>DN50，PN16。阀后压力型，碳钢阀体，带碳钢配对法兰</t>
  </si>
  <si>
    <t>一次除尘：风机系统（设备区）</t>
  </si>
  <si>
    <t>DN20，PN16。阀后压力型，碳钢阀体，带碳钢配对法兰</t>
  </si>
  <si>
    <t>一次除尘：煤冷系统（设备区）</t>
  </si>
  <si>
    <t>音叉液位开关</t>
  </si>
  <si>
    <t>输出开关信号，带配对法兰，隔爆型</t>
  </si>
  <si>
    <t>隔膜密封式差压变送器</t>
  </si>
  <si>
    <t>输出4～20mADC二线制，带Hart通讯，IP67，铝外壳，带数显表，毛细管长度高低压各5m，带配对法兰，隔爆型</t>
  </si>
  <si>
    <t>DN200，PN16，一体式，精度±0.5%，内村材质橡胶，输出：4～20mADC，带数显表，带碳钢配对法兰，隔爆型</t>
  </si>
  <si>
    <t>DN100，PN16，分体式，精度±0.5%，内村材质橡胶，输出：4～20mADC，带数显表，带碳钢配对法兰，隔爆型</t>
  </si>
  <si>
    <t>一次除尘：切换站系统（设备区）</t>
  </si>
  <si>
    <t>一次除尘：放散塔系统（设备区）</t>
  </si>
  <si>
    <t>DN150，PN25，三偏心蝶阀，阀体碳钢，工作介质温度：常温IP65，泄露等级：VI,配套手轮机构、电磁阀、空气过滤减压阀、行程开关、电源：24VDC，碳钢配对法兰及连接件，全套安装附件。隔爆型</t>
  </si>
  <si>
    <t>DN100，PN16，带差压变送器和三阀组，输出：4～20mADC+Hart，带碳钢配对法兰，隔爆型。</t>
  </si>
  <si>
    <t>粉尘仪</t>
  </si>
  <si>
    <t>激光法检测，隔爆
激光前向散射测量。配套粉尘仪采样探头、粉尘仪控制箱、平台反吹箱、集线箱及全套安装附件、专用电缆</t>
  </si>
  <si>
    <t>一次除尘：其他（设备区）</t>
  </si>
  <si>
    <t>DN250，PN16，带差压变送器和三阀组，输出：4～20mA，带Hart通讯，带碳钢配对法兰，隔爆型</t>
  </si>
  <si>
    <t>一体化均速管流量计</t>
  </si>
  <si>
    <t>DN2500，PN6，带微差压变送器和三阀组，输出：4～20mA，带Hart通讯，带碳钢配对法兰，隔爆型</t>
  </si>
  <si>
    <t>2153</t>
  </si>
  <si>
    <t>其它除尘系统</t>
  </si>
  <si>
    <t>CEMS系统</t>
  </si>
  <si>
    <t>废气中粉尘浓度、温度、压力、流速、湿度、氧含量，带机柜、UPS（10kVA，后备时间30分钟）、数采仪、DCS，与环保局联网</t>
  </si>
  <si>
    <t>激光法检测
激光前向散射测量。配套粉尘仪采样探头、粉尘仪控制箱、平台反吹箱、集线箱及全套安装附件、专用电缆</t>
  </si>
  <si>
    <t>玻璃钢，H600×W600×D300，IP55
内装10只小型断路器和30只普通接线端子</t>
  </si>
  <si>
    <t>尺寸600x500x500，IP54，材质：玻璃钢，厚度2mm，不含管阀件。含隔爆型温度传感器（PT100），隔爆型智能温控器带显示屏，RS485通讯接口。</t>
  </si>
  <si>
    <t>防爆金属软管及接头</t>
  </si>
  <si>
    <t>电缆格兰头</t>
  </si>
  <si>
    <t>2000×200×100，钢板厚度2mm，镀锌</t>
  </si>
  <si>
    <t>节</t>
  </si>
  <si>
    <t>220VAC，30W/m。隔爆型。带接线盒、全套保温材料及安装附件。</t>
  </si>
  <si>
    <t>蓄热站+车间管道</t>
  </si>
  <si>
    <t>蓄热站</t>
  </si>
  <si>
    <t>DN300,PN40，不锈钢节流件，带碳钢配对法兰</t>
  </si>
  <si>
    <t>DN200,PN40，不锈钢节流件，带碳钢配对法兰</t>
  </si>
  <si>
    <t>DN250，PN25，套筒阀，阀体碳钢，工作介质温度：蒸汽或热水IP65，泄露等级：IV,配套手轮机构、空气过滤减压阀、碳钢配对法兰及连接件，全套安装附件。智能定位器，带4~20mA反馈</t>
  </si>
  <si>
    <t>车间管道</t>
  </si>
  <si>
    <t>多孔孔板平衡流量计</t>
  </si>
  <si>
    <t>DN350,PN16，精度±0.5%，不锈钢孔板，带碳钢配对法兰</t>
  </si>
  <si>
    <t>主厂房区域</t>
  </si>
  <si>
    <t>Pt100，不锈钢保护管，铝外壳，输出：4~20mA，带Hart通讯，带安装底座，隔爆型</t>
  </si>
  <si>
    <t>Pt100，不锈钢保护管，铝外壳，输出：4~20mA，带Hart通讯，带安装底座，隔爆型,脱脂禁油</t>
  </si>
  <si>
    <t>Pt100，不锈钢保护管，铝外壳，输出：4~20mA，带Hart通讯，带安装底座。</t>
  </si>
  <si>
    <t>输出：4～20mADC二线制，带Hart通讯，防护等级：IP67，外壳材质：铝合金。LCD数显，隔爆型,脱脂禁油</t>
  </si>
  <si>
    <t>DN800，PN10，带微差压变送器和三阀组，精度±0.5%，输出：4～20mA，带Hart通讯，带碳钢配对法兰，隔爆型，带吹扫装置</t>
  </si>
  <si>
    <t>DN150,PN16，精度±0.5%，不锈钢孔板，带碳钢配对法兰，带吹扫装置</t>
  </si>
  <si>
    <t>DN400,PN40，精度±0.5%，不锈钢孔板，带不锈钢配对法兰,脱脂禁油</t>
  </si>
  <si>
    <t>DN500,PN40，精度±0.5%，不锈钢孔板，带碳钢配对法兰</t>
  </si>
  <si>
    <t>DN300,PN16，精度±0.5%，不锈钢孔板，带碳钢配对法兰</t>
  </si>
  <si>
    <t>DN100,PN40，精度±0.5%，不锈钢孔板，带碳钢配对法兰</t>
  </si>
  <si>
    <t>输出：4～20mADC二线制，带Hart通讯，防护等级：IP67，外壳材质：铝合金。LCD数显，精度±0.075%。带不锈钢三阀组，隔爆型。</t>
  </si>
  <si>
    <t>输出：4～20mADC二线制，带Hart通讯，防护等级：IP67，外壳材质：铝合金。LCD数显，精度±0.075%。带不锈钢三阀组，隔爆型,脱脂禁油。</t>
  </si>
  <si>
    <t>DN80，PN16。套筒阀，碳钢阀体，不锈钢阀内件。配套空气过滤减压阀、电气阀门定位器、手轮机构，带碳钢配对法兰，隔爆型</t>
  </si>
  <si>
    <t>积算仪</t>
  </si>
  <si>
    <t>输入：4~20mA，输出：4～20mA和RS485、以太网信号，带Hart/Modbus-RTU、Modbus-TCP通讯，电源：220V AC，带液晶显示,盘面安装。</t>
  </si>
  <si>
    <t>积算仪仪表盘</t>
  </si>
  <si>
    <t>H×W×D=2200×800×800，前、后开门，两侧封闭，带锁；IP31；外壳材质：碳钢喷塑。</t>
  </si>
  <si>
    <t>一次除尘区域</t>
  </si>
  <si>
    <t>DN50,PN16，精度±0.5%，不锈钢孔板，带碳钢配对法兰</t>
  </si>
  <si>
    <t>DN250,PN40，精度±0.5%，不锈钢孔板，带碳钢配对法兰</t>
  </si>
  <si>
    <t>DN150,PN16，精度±0.5%，不锈钢孔板，带碳钢配对法兰</t>
  </si>
  <si>
    <t>DN40，PN16。单座阀，碳钢阀体，不锈钢阀内件。配套空气过滤减压阀、电气阀门定位器、手轮机构，带碳钢配对法兰，隔爆型</t>
  </si>
  <si>
    <t>一入二出隔离配电器</t>
  </si>
  <si>
    <t>输入：4～20mADC，输出两路：4～20mADC，电源：24VDC</t>
  </si>
  <si>
    <t>Φ22×3，碳钢</t>
  </si>
  <si>
    <t>十一</t>
  </si>
  <si>
    <t>仪表检定及认证费</t>
  </si>
  <si>
    <t>仪表第三方检定</t>
  </si>
  <si>
    <t>对二级计量仪表（共33台）做首次检定/校准，验收时提供首次检定合格证书。</t>
  </si>
  <si>
    <t>操作箱、操作台均采用全不锈钢材质。               模块支持热插拔。</t>
  </si>
  <si>
    <t>1</t>
  </si>
  <si>
    <t>1.1</t>
  </si>
  <si>
    <t>IP54。500x600x200.</t>
  </si>
  <si>
    <t>1.2</t>
  </si>
  <si>
    <t>HMI操作台</t>
  </si>
  <si>
    <t>IP31。1500x900x750.</t>
  </si>
  <si>
    <t>远程IO柜</t>
  </si>
  <si>
    <t>附件成套，含电源、通讯模板等</t>
  </si>
  <si>
    <t>1.3</t>
  </si>
  <si>
    <t>PLC柜</t>
  </si>
  <si>
    <t>1.4</t>
  </si>
  <si>
    <t>CPU</t>
  </si>
  <si>
    <t>CPU:1516-3PN/DP，CPU存储卡24M</t>
  </si>
  <si>
    <t>1.5</t>
  </si>
  <si>
    <t>DI模板</t>
  </si>
  <si>
    <t xml:space="preserve">ET200MP,DI 32点   </t>
  </si>
  <si>
    <t>1.6</t>
  </si>
  <si>
    <t>DO模板</t>
  </si>
  <si>
    <t xml:space="preserve">ET200MP，DO 32点  </t>
  </si>
  <si>
    <t>1.7</t>
  </si>
  <si>
    <t>AI模板</t>
  </si>
  <si>
    <t xml:space="preserve">ET200MP，AI 8点   </t>
  </si>
  <si>
    <t>1.8</t>
  </si>
  <si>
    <t>AO模板</t>
  </si>
  <si>
    <t xml:space="preserve">ET200MP，AO 8点    </t>
  </si>
  <si>
    <t>1.9</t>
  </si>
  <si>
    <t>工程师站</t>
  </si>
  <si>
    <t>PC 机
- I7 14 代 3.2GHz CPU
- 32GB RAM
- 512G 固态硬盘+1TB 机械硬盘
- DVD R 光驱（ 操作岗位取消光驱， 工
程师站保留光驱）
- 24" LED 显示器
- 以太网卡， 双网卡
- Windows 10 操作系统</t>
  </si>
  <si>
    <t>HMI操作站</t>
  </si>
  <si>
    <t>1.11</t>
  </si>
  <si>
    <t>编程器</t>
  </si>
  <si>
    <t>CPU：i9 13代
内存：32 GB；
硬盘：1T SSD固态硬盘；
显示器：分辨率2k 
·Windows 10 Professional 中文版</t>
  </si>
  <si>
    <t>1.12</t>
  </si>
  <si>
    <t>系统软件</t>
  </si>
  <si>
    <t>WinCC 8.0授权，开发版 8k</t>
  </si>
  <si>
    <t>1.13</t>
  </si>
  <si>
    <t>WinCC 8.0授权，运行版8k</t>
  </si>
  <si>
    <t>1.14</t>
  </si>
  <si>
    <t>TIA  最新版</t>
  </si>
  <si>
    <t>1.15</t>
  </si>
  <si>
    <t>网络设备</t>
  </si>
  <si>
    <t>主干交换机：4光16电，网管型</t>
  </si>
  <si>
    <t>1.16</t>
  </si>
  <si>
    <t>交换机：16电</t>
  </si>
  <si>
    <t>1.17</t>
  </si>
  <si>
    <t>Profinet网线</t>
  </si>
  <si>
    <t>SIEMENS</t>
  </si>
  <si>
    <t>1.18</t>
  </si>
  <si>
    <t>单模光纤</t>
  </si>
  <si>
    <t>ZR-GYTS-8b1</t>
  </si>
  <si>
    <t>1.19</t>
  </si>
  <si>
    <t>双绞线</t>
  </si>
  <si>
    <t>超五类屏蔽双绞线</t>
  </si>
  <si>
    <t>1.20</t>
  </si>
  <si>
    <t>UPS</t>
  </si>
  <si>
    <t>工业型，   含受电、整流、逆变及蓄电池单元，电池：铅酸胶体蓄电池</t>
  </si>
  <si>
    <t>主机</t>
  </si>
  <si>
    <t>6kVA,60min。单入单出。</t>
  </si>
  <si>
    <t>配电柜</t>
  </si>
  <si>
    <t>UPS配电柜，内装10个16A断路器</t>
  </si>
  <si>
    <t>2.1</t>
  </si>
  <si>
    <t>IP54。300x400x200.</t>
  </si>
  <si>
    <t>2.2</t>
  </si>
  <si>
    <t>IP54。400x500x200.</t>
  </si>
  <si>
    <t>2.3</t>
  </si>
  <si>
    <t>2.4</t>
  </si>
  <si>
    <t>IP31，带倾动手柄（施耐德3档速度手柄）</t>
  </si>
  <si>
    <t>2.5</t>
  </si>
  <si>
    <t>2.6</t>
  </si>
  <si>
    <t>2.7</t>
  </si>
  <si>
    <t>CPU:1517-3PN/DP，CPU存储卡256M</t>
  </si>
  <si>
    <t>2.8</t>
  </si>
  <si>
    <t>IO柜</t>
  </si>
  <si>
    <t>远程IO柜，IP30</t>
  </si>
  <si>
    <t>2.9</t>
  </si>
  <si>
    <t xml:space="preserve">ET200MP,DI 32点  </t>
  </si>
  <si>
    <t>2.11</t>
  </si>
  <si>
    <t>2.12</t>
  </si>
  <si>
    <t xml:space="preserve">ET200MP，AO 8点   </t>
  </si>
  <si>
    <t>2.13</t>
  </si>
  <si>
    <t>连接模块</t>
  </si>
  <si>
    <t>IM 155-5</t>
  </si>
  <si>
    <t>2.14</t>
  </si>
  <si>
    <t>2.15</t>
  </si>
  <si>
    <t>2.16</t>
  </si>
  <si>
    <t>2.17</t>
  </si>
  <si>
    <t>打印机</t>
  </si>
  <si>
    <t>A4 激光黑白打印机</t>
  </si>
  <si>
    <t>2.18</t>
  </si>
  <si>
    <t>WinCC 8.0授权，开发版 64k</t>
  </si>
  <si>
    <t>2.19</t>
  </si>
  <si>
    <t>WinCC 8.0授权，运行版64k</t>
  </si>
  <si>
    <t>2.20</t>
  </si>
  <si>
    <t>TIA 最新版</t>
  </si>
  <si>
    <t>2.21</t>
  </si>
  <si>
    <t>2.22</t>
  </si>
  <si>
    <t>2.23</t>
  </si>
  <si>
    <t>网络机柜</t>
  </si>
  <si>
    <t>2.24</t>
  </si>
  <si>
    <t>2.25</t>
  </si>
  <si>
    <t>2.26</t>
  </si>
  <si>
    <t>2.27</t>
  </si>
  <si>
    <t>工业型， 含受电、整流、逆变及蓄电池单元，电池：铅酸胶体蓄电池</t>
  </si>
  <si>
    <t>30kVA,60min。三入三出。</t>
  </si>
  <si>
    <t>UPS配电柜，内装40个16A断路器</t>
  </si>
  <si>
    <t>2.28</t>
  </si>
  <si>
    <t>10kVA,60min。单入单出。</t>
  </si>
  <si>
    <t>3</t>
  </si>
  <si>
    <t>3.1</t>
  </si>
  <si>
    <t>2150</t>
  </si>
  <si>
    <t>600*400*300</t>
  </si>
  <si>
    <t>3.2</t>
  </si>
  <si>
    <t>1500*900*750</t>
  </si>
  <si>
    <t>3.3</t>
  </si>
  <si>
    <t>3.4</t>
  </si>
  <si>
    <t>3.5</t>
  </si>
  <si>
    <t>3.6</t>
  </si>
  <si>
    <t xml:space="preserve">ET200MP，DO 32点 </t>
  </si>
  <si>
    <t>3.7</t>
  </si>
  <si>
    <t xml:space="preserve">ET200MP，AI 8点  </t>
  </si>
  <si>
    <t>3.8</t>
  </si>
  <si>
    <t xml:space="preserve">ET200MP，AO 8点  </t>
  </si>
  <si>
    <t>3.9</t>
  </si>
  <si>
    <t>3.10</t>
  </si>
  <si>
    <t>3.11</t>
  </si>
  <si>
    <t>3.12</t>
  </si>
  <si>
    <t>3.13</t>
  </si>
  <si>
    <t>WinCC 8.05授权，运行版8k</t>
  </si>
  <si>
    <t>3.14</t>
  </si>
  <si>
    <t>3.15</t>
  </si>
  <si>
    <t>3.16</t>
  </si>
  <si>
    <t>3.17</t>
  </si>
  <si>
    <t>3.18</t>
  </si>
  <si>
    <t>3.19</t>
  </si>
  <si>
    <t>3.20</t>
  </si>
  <si>
    <t>3.21</t>
  </si>
  <si>
    <t>UPS配电柜，内装15个16A断路器</t>
  </si>
  <si>
    <t>2</t>
  </si>
  <si>
    <t>二次三次及其它除尘</t>
  </si>
  <si>
    <t>DCS柜</t>
  </si>
  <si>
    <t>随通风设备成套</t>
  </si>
  <si>
    <t>DCS编程软件</t>
  </si>
  <si>
    <t>DCS画面开发软件</t>
  </si>
  <si>
    <t>DCS画面运行软件</t>
  </si>
  <si>
    <t>KR二级</t>
  </si>
  <si>
    <t>CPU 2*英特尔®至强系列，核
心数不低于12核，基础频率
不低于2.0Ghz
64G内存
系统盘 2*480G SSD做raid1
数据盘 4*1T 7.2K SATA HDD
做raid5
硬件raid卡，带后备电池，
至少1G缓存
1个DVD-ROM驱动器
24"液晶显示器
双100M/1000M bps自适应网
卡，4网口
电源：1+1冗余电源，单电源
额定功率不低于600W
Windows Server 2025 （64
位）标准版</t>
  </si>
  <si>
    <t>i7 14代3.2GHz CPU
16GB RAM
512G固态硬盘+1TB机械硬盘
24"液晶显示器
以太网卡，双网卡
Windows 10操作系统</t>
  </si>
  <si>
    <t>服务器机柜</t>
  </si>
  <si>
    <t>42U</t>
  </si>
  <si>
    <t>24电口，4光口</t>
  </si>
  <si>
    <t>光纤、跳线、光模块、网线</t>
  </si>
  <si>
    <t>KR二级应用软件</t>
  </si>
  <si>
    <t>过程跟踪系统</t>
  </si>
  <si>
    <t>KR自动脱硫系统</t>
  </si>
  <si>
    <t>智能脱硫（脱硫剂模型、搅拌参数模型）、视觉识别设备、数据接口</t>
  </si>
  <si>
    <t>KR自动扒渣系统</t>
  </si>
  <si>
    <t>机电一体品，含视觉识别设备、液位检测仪、模型软件、激光测距、人工时统一成套考虑</t>
  </si>
  <si>
    <t>转炉二级</t>
  </si>
  <si>
    <t>转炉二级应用软件</t>
  </si>
  <si>
    <t>转炉副枪模型系统</t>
  </si>
  <si>
    <t>静动态模型、数据接口</t>
  </si>
  <si>
    <t>转炉智能氧枪控制系统</t>
  </si>
  <si>
    <t>转炉火焰识别系统、转炉音频化渣系统和智能氧枪决策系统</t>
  </si>
  <si>
    <t>转炉自动出钢系统</t>
  </si>
  <si>
    <t>机电一体品，含视觉识别设备、激光测距、模型软件、人工时统一成套考虑</t>
  </si>
  <si>
    <t>转炉自动溅渣系统</t>
  </si>
  <si>
    <t>机电一体品，含视觉识别设备、模型软件、人工时统一成套考虑</t>
  </si>
  <si>
    <t>检化验管理系统</t>
  </si>
  <si>
    <t>i7 14代3.2GHz CPU
16GB RAM
512G固态硬盘+1TB机械硬盘
DVD-ROM光驱
24"液晶显示器
以太网卡，双网卡
Windows 10操作系统</t>
  </si>
  <si>
    <t>24 口交换机 4光口</t>
  </si>
  <si>
    <t>光纤及光纤配套、网线</t>
  </si>
  <si>
    <t>检化验管理系统软件</t>
  </si>
  <si>
    <t>包含试样委托抛送，检化验数据采集分发统计</t>
  </si>
  <si>
    <t>LF二级</t>
  </si>
  <si>
    <t>LF二级应用软件</t>
  </si>
  <si>
    <t>LF二级模型</t>
  </si>
  <si>
    <t>包含合金、通电、温度预报等</t>
  </si>
  <si>
    <t>一键精炼</t>
  </si>
  <si>
    <t>精炼智能底吹氩
系统</t>
  </si>
  <si>
    <t>摄像头</t>
  </si>
  <si>
    <t>生产调度系统</t>
  </si>
  <si>
    <t>包含排程</t>
  </si>
  <si>
    <t>人工时</t>
  </si>
  <si>
    <t>炼钢物流系统</t>
  </si>
  <si>
    <t>天车定位系统</t>
  </si>
  <si>
    <t>行车X轴定位</t>
  </si>
  <si>
    <t>格雷母线，含编码柜、解码柜、天线箱、终端箱等，实现大车走行定位，格雷母线、编码柜在同跨内共用。范围如下:</t>
  </si>
  <si>
    <t>废钢低跨：跨长72米，3台行车</t>
  </si>
  <si>
    <t>加料跨：跨长183米，3台行车</t>
  </si>
  <si>
    <t>出钢跨：跨长183米，1台行车</t>
  </si>
  <si>
    <t>转炉跨东跨：跨长82米，1台行车</t>
  </si>
  <si>
    <t>钢水接收跨：跨长183米，2台行车</t>
  </si>
  <si>
    <t>行车Y轴定位</t>
  </si>
  <si>
    <t>格雷母线，含编码柜、解码器、天线箱、终端箱等，实现天车小车走行定位</t>
  </si>
  <si>
    <t>废钢低跨：跨宽30米，3台行车</t>
  </si>
  <si>
    <t>加料跨：跨宽25米，3台行车</t>
  </si>
  <si>
    <t>出钢跨：跨宽20米，1台行车</t>
  </si>
  <si>
    <t>转炉跨东跨：跨宽25米，1台行车</t>
  </si>
  <si>
    <t>钢水接收跨：跨宽25米，2台行车</t>
  </si>
  <si>
    <t>行车车载终端</t>
  </si>
  <si>
    <t>工业级车载平板
-屏幕：12英寸及以上，分辨率为1920×1080；
-CPU：Intel i5第10代及以上；
-内存：8GB RAM；
-存储：128GB ；
-系统：Win10；
-通讯：以太网接口（RJ45），支持工业WIFI连接（Wi-Fi 5/6）；
-工作温度： -30℃~70 ℃；
-防护等级： IP66及以上；
-适用环境： 防强震，上电开机；
-安装附件：万向安装支架、电源适配器（含定制线缆）；</t>
  </si>
  <si>
    <t>车载采集电控箱</t>
  </si>
  <si>
    <t xml:space="preserve">
电控箱：
-尺寸：500mm(W)×300mm(D)×600mm(H)，喷塑钢箱体+不锈钢面板，IP54，含微断、端子排等附件；
-模块：工业直流电源DC24V/5A×1； 
-模块：CPU 1214C；
-模块：8口百兆电口工业交换机×1；
-模块：1进2出信号隔离器×2；</t>
  </si>
  <si>
    <t>无线网络</t>
  </si>
  <si>
    <t>工业无线网络（基站/AP）
-支持协议：IEEE 802.11a/n/ac；
-传输速率：866Mbps及以上；
-有效距离：≥4.5km；
-工作温度：-30℃~75 ℃；
-防护等级：IP66及以上；
-通讯接口：千兆以太网电口，支持远程访问与管理；
-工作模式：WDS （AP/Client）、MESH等模式；
-QoS功能：支持语音、视频、或指定报文的优先传输，满足多种业务需求；
-适用环境：高粉尘、高温、雨雪水汽、烟雾雾霾等环境；
-安装附件：抱杆式安装套件、防水接头、定制线缆、电源适配器（或工业型POE电源模块）；
-配套软件：含配套的运行、维护、管理、通讯等软件；
-配套服务：安装部署，质保，运维；</t>
  </si>
  <si>
    <t>电控箱</t>
  </si>
  <si>
    <t>电控箱
-尺寸：400mm(W)×250mm(D)×600mm(H)，喷塑钢箱体+不锈钢面板，IP54，含微断、端子排及光端盒等附件；
-模块：工业直流电源DC24V/5A×1； 
-模块：工业交换机1光4电×1；
-附件：8口光纤盒*1</t>
  </si>
  <si>
    <t>包槽号识别系统</t>
  </si>
  <si>
    <t>包含包槽号识别摄像机、OCR号码牌、分析软件、操作终端及配套附件等；满足夜间识别需求，视频存储时间≥1个月。
识别点位：13个
钢包：18个、废钢槽：5个、铁包：20个</t>
  </si>
  <si>
    <t>高清摄像机</t>
  </si>
  <si>
    <t>200万变焦筒机网络摄像机;支持强光抑制，宽动态;POE供电风冷防护罩，不锈钢材质，含信号及电源进线转接头保护套管；手动云台，与保护罩配套；托臂，与手动云台配套；补光灯</t>
  </si>
  <si>
    <t>图像识别服务器</t>
  </si>
  <si>
    <t>内存32GB；
硬盘512GB SSD*2 RAID1 +2TB HDD；
RTX 5070 8G显存；
2口千兆独立以太网卡；
带鼠标和键盘；
带24"液晶显示器；
Windows10 专业版标</t>
  </si>
  <si>
    <t>铁、钢、废钢槽
号码牌</t>
  </si>
  <si>
    <t>定制标签钢板，每个包、槽2副</t>
  </si>
  <si>
    <t>包槽号识别系统软件</t>
  </si>
  <si>
    <t>包含包槽号识别算法、包槽号识别业务软件</t>
  </si>
  <si>
    <t>NVR</t>
  </si>
  <si>
    <t>含30T硬盘容量，16路视频接入，千兆网络带宽。</t>
  </si>
  <si>
    <t>电控箱
-尺寸：400mm(W)×250mm(D)×600mm(H)，喷塑钢箱体+不锈钢面板，IP54，含微断、端子排及光端盒等附件；
-模块：工业直流电源DC24V/5A×1； 
-模块：工业光纤收发器1光1电×1；
-附件：8口光纤盒*1</t>
  </si>
  <si>
    <t>台车定位系统</t>
  </si>
  <si>
    <t>激光测距仪
（漫反射）</t>
  </si>
  <si>
    <t>激光测距仪
–测量范围：0.2m～100m；
-重复精度：≤3mm；
-定位精度：≤10mm；
-反光形式：漫反射；
-通讯接口：PN通讯；
-工作温度：-30℃~80 ℃；
-防护等级：IP67；
-安装附件：冷却防护罩、安装支架、定制接头；</t>
  </si>
  <si>
    <t>电控箱
-尺寸：400mm(W)×250mm(D)×600mm(H)，喷塑钢箱体+不锈钢面板，IP54，含微断、端子排等附件；
-模块：工业直流电源DC24V/5A×1； 
-模块：工业光纤收发器×1；
-附件：8口光纤盒*1</t>
  </si>
  <si>
    <t>计算机及网络设备</t>
  </si>
  <si>
    <t>物流跟踪服务器</t>
  </si>
  <si>
    <t>2*英特尔®至强系列，核心数不低于12核；
频率：不低于2.0Ghz；
128G内存，系统盘 2*480G SSD做raid1，数据盘 4*2T 7.2K SATA HDD做raid5硬件raid卡，带后备电池，
至少1G缓存1个DVD-ROM驱动器；24"液晶显示器；
双100M/1000M bps自适应网卡，4网口；
电源：1+1冗余电源，单电源额定功率不低于600W
Windows Server 2025 （64位）标准版</t>
  </si>
  <si>
    <t>机柜
-尺寸：600mm(W)×1000mm(D)×2000mm(H)，42U； 
-模块：8口PDU专用电源插排×2；
-附件：光纤配线架、理线架、隔板等附件；</t>
  </si>
  <si>
    <t>PC操作站</t>
  </si>
  <si>
    <t>接入交换机</t>
  </si>
  <si>
    <t>接入交换机
-端口：8×100M电口，2×1G光口（含1×SFP）;
-功能：支持VLAN等功能；</t>
  </si>
  <si>
    <t>汇聚交换机</t>
  </si>
  <si>
    <t>商业接入交换机
-端口：16×1000M电口，8×Combo（含8×SFP），4×10G光口（含2×SFP+）;
-功能：VLAN、路由、Qos、ACL、堆叠/虚拟化；
-服务：安装部署，原厂质保，运维；</t>
  </si>
  <si>
    <t>跳线</t>
  </si>
  <si>
    <t>3米/根，单模双芯跳线</t>
  </si>
  <si>
    <t>施工材料</t>
  </si>
  <si>
    <t>网线</t>
  </si>
  <si>
    <t>CAT6，305米/卷</t>
  </si>
  <si>
    <t>水晶头</t>
  </si>
  <si>
    <t>六类燕尾夹屏蔽型水晶头，100个/包</t>
  </si>
  <si>
    <t>PN线</t>
  </si>
  <si>
    <t>IE FC TP Robust标准线缆GP （2×2）</t>
  </si>
  <si>
    <t>PN连接器</t>
  </si>
  <si>
    <t>工业以太网FastConnect RJ45插头180 （2×2）</t>
  </si>
  <si>
    <t>光缆</t>
  </si>
  <si>
    <t>8芯单模铠装，阻燃</t>
  </si>
  <si>
    <t xml:space="preserve">ZR-YJV-3*4-0.6/1kV </t>
  </si>
  <si>
    <t>移动电缆</t>
  </si>
  <si>
    <t>ZR-YCW-3*2.5 0.6/1kV</t>
  </si>
  <si>
    <t>接地电缆</t>
  </si>
  <si>
    <t>BV导线材料</t>
  </si>
  <si>
    <t>镀锌钢管、角钢、槽钢、桥架等</t>
  </si>
  <si>
    <t>UPS系统</t>
  </si>
  <si>
    <t>机房UPS</t>
  </si>
  <si>
    <t>机架式UPS,6kVA，后备时间不小于30min，含电池包、导轨及相关附件</t>
  </si>
  <si>
    <t>设计人工时（设计）</t>
  </si>
  <si>
    <t>订货图、施工图、软件功能设计</t>
  </si>
  <si>
    <t>人月</t>
  </si>
  <si>
    <t>设计人工时（调试、现场服务）</t>
  </si>
  <si>
    <t>施工服务、现场调试、数据采集与校核</t>
  </si>
  <si>
    <t>炼钢物流软件系统</t>
  </si>
  <si>
    <t>包含综合监控、容器管理、天车管理等</t>
  </si>
  <si>
    <t>通讯系统</t>
  </si>
  <si>
    <t>(一)</t>
  </si>
  <si>
    <t>电话系统</t>
  </si>
  <si>
    <t>自动电话</t>
  </si>
  <si>
    <t>IP型，带录音功能</t>
  </si>
  <si>
    <t>调度键盘</t>
  </si>
  <si>
    <t>IP型，直呼键100键及配套附件</t>
  </si>
  <si>
    <t>6类</t>
  </si>
  <si>
    <t>HYA-5×2×0.5</t>
  </si>
  <si>
    <t>HYV-2×1.0</t>
  </si>
  <si>
    <t>DN20，壁厚不低于1.5mm，含直通、弯通、三通、四通、软管等连接件</t>
  </si>
  <si>
    <t>(二)</t>
  </si>
  <si>
    <t>综合布线系统</t>
  </si>
  <si>
    <t>4光口（万兆）+24光口千兆</t>
  </si>
  <si>
    <t>4光口+24电口）千兆交换机</t>
  </si>
  <si>
    <t>数据端口</t>
  </si>
  <si>
    <t>双口信息插座，含面板</t>
  </si>
  <si>
    <t>机柜</t>
  </si>
  <si>
    <t>600mmx600mmx1200mm，含PDU、理线架、电源及配套附件</t>
  </si>
  <si>
    <t>GYTA-12b1</t>
  </si>
  <si>
    <t>DN25，壁厚不低于1.5mm，含直通、弯通、三通、四通、软管等连接件</t>
  </si>
  <si>
    <t>有线对讲系统</t>
  </si>
  <si>
    <t>包括：1台50门对讲网关、1台42U机柜（柜内电源、接线端子排、48口光纤配线架）、1台（12光口+24电口）千兆交换机；室内话站4台、室外话站和25W扬声器21套；</t>
  </si>
  <si>
    <t>系统服务器及软件</t>
  </si>
  <si>
    <t>含控制板、录音板、中继板、电源板、50路用户授权、配套软件等</t>
  </si>
  <si>
    <t>UPS电源</t>
  </si>
  <si>
    <t>在线式，20KVA，含3小时蓄电池</t>
  </si>
  <si>
    <t>通讯线缆</t>
  </si>
  <si>
    <t>CPEV-S30×2×0.8</t>
  </si>
  <si>
    <t>CPEV-S3×2×0.8</t>
  </si>
  <si>
    <t>RVVP2×1.5</t>
  </si>
  <si>
    <t>无线通信系统</t>
  </si>
  <si>
    <t>无线对讲手持机</t>
  </si>
  <si>
    <t>同频单工，含充电器、电池及备用电池（锂电池1650mAh）等；功率5W、信道数1024；防护等级IP65</t>
  </si>
  <si>
    <t>车载台</t>
  </si>
  <si>
    <t>含天线、麦克风、扬声器、脚踏开关及、电源及配套附件。防护等级IP40</t>
  </si>
  <si>
    <t>工业电视系统</t>
  </si>
  <si>
    <t>普通工业电视系统</t>
  </si>
  <si>
    <r>
      <rPr>
        <sz val="10"/>
        <rFont val="宋体"/>
        <charset val="134"/>
      </rPr>
      <t xml:space="preserve">164套400万像素全彩摄像机，每套含电动变焦镜头和自动光圈、防护罩、云台、现场箱、工业级光纤收发器、光纤终端盒等；
</t>
    </r>
    <r>
      <rPr>
        <sz val="10"/>
        <color rgb="FFFF0000"/>
        <rFont val="宋体"/>
        <charset val="134"/>
      </rPr>
      <t>接入交换机12台（12/24口10/100/1000Base-T以太网端口,4口千兆 SFP  部分POE）工业级；
汇聚交换机1台（48口千兆SFP+4口10G上联）工业级；高清解码器（8路）2台；</t>
    </r>
    <r>
      <rPr>
        <sz val="10"/>
        <rFont val="宋体"/>
        <charset val="134"/>
      </rPr>
      <t xml:space="preserve">
3台42U机柜；
含空开、卡槽、光纤配线架、PDU电源、跳线等按需；</t>
    </r>
  </si>
  <si>
    <t>防爆型工业电视摄像机</t>
  </si>
  <si>
    <t>400万像素全彩摄像机，电动变焦镜头和自动光圈、防爆防护罩、云台、防爆现场箱、工业级光纤收发器、光纤终端盒及配套附件</t>
  </si>
  <si>
    <t>视频服务器</t>
  </si>
  <si>
    <t>管理视频250路，含视频管理平台软件</t>
  </si>
  <si>
    <t>流媒体服务器</t>
  </si>
  <si>
    <t>CVR存储</t>
  </si>
  <si>
    <t>320路（录像+回放）单设备4U 240TB存储空间，硬盘配置400万摄像机存储时间30天</t>
  </si>
  <si>
    <t>存储</t>
  </si>
  <si>
    <t>16路，硬盘配置400万摄像机存储时间90天</t>
  </si>
  <si>
    <t>拼接屏</t>
  </si>
  <si>
    <t>3×6 55”液晶拼接屏，拼缝0.88mm，亮度大于500cd/m2，包括拼接控制器（支持120路1080P、H.264/H.265解码，4路HDMI输入，18路HDMI输出）、HDMI线、壁挂式/台式/组合/吊装安装支架；拼接屏上部配置宽7500mm，高度500mmLED显示屏</t>
  </si>
  <si>
    <t>监视器</t>
  </si>
  <si>
    <t>40”液晶屏，含安装支架及配套附件</t>
  </si>
  <si>
    <t>55”液晶屏，含安装支架及配套附件</t>
  </si>
  <si>
    <t>80”液晶屏，含安装支架及配套附件</t>
  </si>
  <si>
    <t>客户端电脑</t>
  </si>
  <si>
    <t>含主机（不低于：CPU:Intel 酷睿 i5 ，内存：8GB，硬盘容量：512G，网卡：100M/1000M以太网卡）、 32寸LCD显示器；含键盘、鼠标及正版操作系统软件等。</t>
  </si>
  <si>
    <t xml:space="preserve">视频综合监控管理平台 </t>
  </si>
  <si>
    <t>含视频管理服务、流媒体服务、支持40个显示屏拼接 32路解码DVI视频输出 8路VGA输入</t>
  </si>
  <si>
    <t>在线式，10KVA，含2小时蓄电池</t>
  </si>
  <si>
    <t>GYTA-4b1</t>
  </si>
  <si>
    <t>电源线</t>
  </si>
  <si>
    <t>ZR-YJV3×1.5</t>
  </si>
  <si>
    <t>ZR-YJV3×2.5</t>
  </si>
  <si>
    <t>可燃气体报警系统</t>
  </si>
  <si>
    <t>气体报警控制器</t>
  </si>
  <si>
    <t>含：48通道气体报警控制器、电源、软件及配套附件，有线、无线4G/5G传输信号</t>
  </si>
  <si>
    <t>气体探测器</t>
  </si>
  <si>
    <t>防爆型，探测气体：CO；带声光报警器及配套附件。有线、无线4G/5G传输信号</t>
  </si>
  <si>
    <t>防爆型，探测气体：CH4；带声光报警器及配套附件。有线、无线4G/5G传输信号</t>
  </si>
  <si>
    <t>防爆型，探测气体：O2；带声光报警器及配套附件。有线、无线4G/5G传输信号</t>
  </si>
  <si>
    <t>便携式气体探测器</t>
  </si>
  <si>
    <t>防爆型，探测气体：CO；带声光报警器及配套附件。</t>
  </si>
  <si>
    <t>阻燃控制电缆</t>
  </si>
  <si>
    <t>ZR-KVVRP3×2.5mm2</t>
  </si>
  <si>
    <t>火灾报警系统</t>
  </si>
  <si>
    <t>集中火灾自动报警控制器</t>
  </si>
  <si>
    <t>5回路(每回路不低于200点)柜式报警控制器1台，区域报警控制器4台，含电话主机、广播主机及功率放大器、总线控制盘、多线控制盘、工作负荷下3h备用电源主机及蓄电池组、接线端子排等；
现场设备：各类探测器、各类模块、声光报警器、手动报警按钮、广播、电话分机、电话插孔、模块箱等约350点；
配联网卡、电话中继器、广播光端机</t>
  </si>
  <si>
    <t>图形显示装置</t>
  </si>
  <si>
    <t>主机、显示器、鼠标、键盘等，配操作台及配套软硬件设备、线缆等</t>
  </si>
  <si>
    <t>线性感温探测器</t>
  </si>
  <si>
    <t>5000m，可恢复式，配微机控制器、终端盒等按需</t>
  </si>
  <si>
    <t>信号线干线</t>
  </si>
  <si>
    <t>ZCN-B2-RVSP2×1.5</t>
  </si>
  <si>
    <t>电源线干线</t>
  </si>
  <si>
    <t>ZCN-B2-KVV2×2.5</t>
  </si>
  <si>
    <t>信号线支线</t>
  </si>
  <si>
    <t>ZCN-B2-RVS2×1.0</t>
  </si>
  <si>
    <t>电源线支线</t>
  </si>
  <si>
    <t>ZCN-B2-RVV2×1.5</t>
  </si>
  <si>
    <t>消防电话线</t>
  </si>
  <si>
    <t>ZCN-B2-RVVP2×1.5</t>
  </si>
  <si>
    <t>ZCN-B2-RVVP2×2.5</t>
  </si>
  <si>
    <t>消防广播线</t>
  </si>
  <si>
    <t>控制及返回信号线</t>
  </si>
  <si>
    <t>ZCN-B2-KVVR4×1.5</t>
  </si>
  <si>
    <t>直接控制线</t>
  </si>
  <si>
    <t>ZCN-B2-KVVRP19×1.5</t>
  </si>
  <si>
    <t>ZCN-B2-KVVRP4×1.5</t>
  </si>
  <si>
    <t>GYTA-8b1</t>
  </si>
  <si>
    <t>DN32，壁厚不低于1.5mm，含直通、弯通、三通、四通、软管等连接件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</si>
</sst>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  <numFmt numFmtId="178" formatCode="0.000"/>
    <numFmt numFmtId="179" formatCode="0.0"/>
    <numFmt numFmtId="180" formatCode="0.000_ "/>
    <numFmt numFmtId="181" formatCode="0.00_ "/>
    <numFmt numFmtId="182" formatCode="0.0_ "/>
  </numFmts>
  <fonts count="30"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0"/>
      <name val="Geneva"/>
      <charset val="134"/>
    </font>
    <font>
      <sz val="12"/>
      <name val="Times New Roman"/>
      <charset val="134"/>
    </font>
    <font>
      <sz val="10"/>
      <color rgb="FFFF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9" fontId="25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5" fillId="0" borderId="0">
      <alignment vertical="center"/>
    </xf>
    <xf numFmtId="0" fontId="26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6" fillId="0" borderId="0">
      <alignment vertical="center"/>
    </xf>
    <xf numFmtId="0" fontId="26" fillId="0" borderId="0"/>
    <xf numFmtId="0" fontId="27" fillId="0" borderId="0"/>
    <xf numFmtId="0" fontId="28" fillId="0" borderId="0"/>
  </cellStyleXfs>
  <cellXfs count="8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55" applyFont="1" applyBorder="1" applyAlignment="1">
      <alignment vertical="center" wrapText="1"/>
    </xf>
    <xf numFmtId="0" fontId="3" fillId="0" borderId="1" xfId="55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2" fillId="0" borderId="1" xfId="55" applyFont="1" applyBorder="1" applyAlignment="1">
      <alignment vertical="center" wrapText="1"/>
    </xf>
    <xf numFmtId="0" fontId="2" fillId="0" borderId="1" xfId="55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55" applyFont="1" applyFill="1" applyBorder="1" applyAlignment="1">
      <alignment vertical="center" wrapText="1"/>
    </xf>
    <xf numFmtId="0" fontId="3" fillId="2" borderId="1" xfId="55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0" borderId="1" xfId="52" applyFont="1" applyBorder="1" applyAlignment="1">
      <alignment horizontal="left" vertical="center" wrapText="1"/>
    </xf>
    <xf numFmtId="0" fontId="2" fillId="0" borderId="1" xfId="52" applyFont="1" applyBorder="1" applyAlignment="1">
      <alignment horizontal="center" vertical="center" wrapText="1"/>
    </xf>
    <xf numFmtId="0" fontId="2" fillId="0" borderId="1" xfId="60" applyFont="1" applyBorder="1" applyAlignment="1">
      <alignment horizontal="left" vertical="center" wrapText="1"/>
    </xf>
    <xf numFmtId="0" fontId="3" fillId="2" borderId="1" xfId="52" applyFont="1" applyFill="1" applyBorder="1" applyAlignment="1">
      <alignment horizontal="left" vertical="center" wrapText="1"/>
    </xf>
    <xf numFmtId="0" fontId="3" fillId="2" borderId="1" xfId="52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2" fontId="2" fillId="0" borderId="1" xfId="52" applyNumberFormat="1" applyFont="1" applyBorder="1" applyAlignment="1">
      <alignment horizontal="center" vertical="center" wrapText="1"/>
    </xf>
    <xf numFmtId="2" fontId="3" fillId="2" borderId="1" xfId="52" applyNumberFormat="1" applyFont="1" applyFill="1" applyBorder="1" applyAlignment="1">
      <alignment horizontal="center" vertical="center" wrapText="1"/>
    </xf>
    <xf numFmtId="177" fontId="0" fillId="0" borderId="0" xfId="0" applyNumberFormat="1" applyAlignment="1">
      <alignment vertical="center" wrapText="1"/>
    </xf>
    <xf numFmtId="178" fontId="2" fillId="0" borderId="1" xfId="55" applyNumberFormat="1" applyFont="1" applyBorder="1" applyAlignment="1">
      <alignment horizontal="center" vertical="center" wrapText="1"/>
    </xf>
    <xf numFmtId="178" fontId="3" fillId="2" borderId="1" xfId="55" applyNumberFormat="1" applyFont="1" applyFill="1" applyBorder="1" applyAlignment="1">
      <alignment horizontal="center" vertical="center" wrapText="1"/>
    </xf>
    <xf numFmtId="0" fontId="4" fillId="2" borderId="1" xfId="55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4" borderId="1" xfId="5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55" applyFont="1" applyFill="1" applyBorder="1" applyAlignment="1">
      <alignment vertical="center" wrapText="1"/>
    </xf>
    <xf numFmtId="0" fontId="2" fillId="2" borderId="1" xfId="52" applyFont="1" applyFill="1" applyBorder="1" applyAlignment="1">
      <alignment horizontal="center" vertical="center" wrapText="1"/>
    </xf>
    <xf numFmtId="0" fontId="2" fillId="2" borderId="1" xfId="52" applyFont="1" applyFill="1" applyBorder="1" applyAlignment="1">
      <alignment horizontal="left" vertical="center" wrapText="1"/>
    </xf>
    <xf numFmtId="0" fontId="3" fillId="0" borderId="1" xfId="52" applyFont="1" applyBorder="1" applyAlignment="1">
      <alignment horizontal="left" vertical="center" wrapText="1"/>
    </xf>
    <xf numFmtId="0" fontId="2" fillId="3" borderId="1" xfId="52" applyFont="1" applyFill="1" applyBorder="1" applyAlignment="1">
      <alignment horizontal="left" vertical="center" wrapText="1"/>
    </xf>
    <xf numFmtId="0" fontId="2" fillId="3" borderId="1" xfId="55" applyFont="1" applyFill="1" applyBorder="1" applyAlignment="1">
      <alignment horizontal="center" vertical="center" wrapText="1"/>
    </xf>
    <xf numFmtId="0" fontId="2" fillId="3" borderId="1" xfId="5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55" applyFont="1" applyFill="1" applyBorder="1" applyAlignment="1">
      <alignment vertical="center" wrapText="1"/>
    </xf>
    <xf numFmtId="0" fontId="2" fillId="3" borderId="1" xfId="55" applyFont="1" applyFill="1" applyBorder="1" applyAlignment="1">
      <alignment vertical="center" wrapText="1"/>
    </xf>
    <xf numFmtId="179" fontId="2" fillId="3" borderId="1" xfId="55" applyNumberFormat="1" applyFont="1" applyFill="1" applyBorder="1" applyAlignment="1">
      <alignment horizontal="center" vertical="center" wrapText="1"/>
    </xf>
    <xf numFmtId="179" fontId="3" fillId="2" borderId="1" xfId="55" applyNumberFormat="1" applyFont="1" applyFill="1" applyBorder="1" applyAlignment="1">
      <alignment horizontal="center" vertical="center" wrapText="1"/>
    </xf>
    <xf numFmtId="179" fontId="2" fillId="0" borderId="1" xfId="55" applyNumberFormat="1" applyFont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 wrapText="1"/>
    </xf>
    <xf numFmtId="0" fontId="3" fillId="3" borderId="1" xfId="61" applyFont="1" applyFill="1" applyBorder="1" applyAlignment="1">
      <alignment horizontal="left" vertical="center" wrapText="1"/>
    </xf>
    <xf numFmtId="0" fontId="2" fillId="3" borderId="1" xfId="61" applyFont="1" applyFill="1" applyBorder="1" applyAlignment="1">
      <alignment horizontal="left" vertical="center" wrapText="1"/>
    </xf>
    <xf numFmtId="0" fontId="2" fillId="0" borderId="1" xfId="61" applyFont="1" applyBorder="1" applyAlignment="1">
      <alignment horizontal="left" vertical="center" wrapText="1"/>
    </xf>
    <xf numFmtId="0" fontId="3" fillId="2" borderId="1" xfId="61" applyFont="1" applyFill="1" applyBorder="1" applyAlignment="1">
      <alignment horizontal="left" vertical="center" wrapText="1"/>
    </xf>
    <xf numFmtId="0" fontId="2" fillId="5" borderId="1" xfId="55" applyFont="1" applyFill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2" borderId="1" xfId="55" applyFont="1" applyFill="1" applyBorder="1" applyAlignment="1">
      <alignment horizontal="center" vertical="center" wrapText="1"/>
    </xf>
    <xf numFmtId="0" fontId="3" fillId="0" borderId="1" xfId="61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6" borderId="1" xfId="55" applyFont="1" applyFill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3" borderId="3" xfId="0" applyFont="1" applyFill="1" applyBorder="1">
      <alignment vertical="center"/>
    </xf>
    <xf numFmtId="176" fontId="2" fillId="0" borderId="1" xfId="0" applyNumberFormat="1" applyFont="1" applyBorder="1" applyAlignment="1">
      <alignment horizontal="center" vertical="center" wrapText="1"/>
    </xf>
    <xf numFmtId="1" fontId="2" fillId="0" borderId="1" xfId="55" applyNumberFormat="1" applyFont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182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  <xf numFmtId="0" fontId="3" fillId="3" borderId="1" xfId="0" applyFont="1" applyFill="1" applyBorder="1" quotePrefix="1">
      <alignment vertical="center"/>
    </xf>
    <xf numFmtId="0" fontId="2" fillId="3" borderId="1" xfId="0" applyFont="1" applyFill="1" applyBorder="1" applyAlignment="1" quotePrefix="1">
      <alignment horizontal="center" vertical="center"/>
    </xf>
    <xf numFmtId="0" fontId="2" fillId="3" borderId="1" xfId="0" applyFont="1" applyFill="1" applyBorder="1" quotePrefix="1">
      <alignment vertical="center"/>
    </xf>
    <xf numFmtId="0" fontId="2" fillId="3" borderId="1" xfId="0" applyFont="1" applyFill="1" applyBorder="1" applyAlignment="1" quotePrefix="1">
      <alignment horizontal="center" vertical="center" wrapText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111" xfId="50"/>
    <cellStyle name="常规 137" xfId="51"/>
    <cellStyle name="常规 2 10" xfId="52"/>
    <cellStyle name="常规 3" xfId="53"/>
    <cellStyle name="常规 4 3" xfId="54"/>
    <cellStyle name="常规 43" xfId="55"/>
    <cellStyle name="常规 5 2" xfId="56"/>
    <cellStyle name="常规 50 3" xfId="57"/>
    <cellStyle name="常规 58" xfId="58"/>
    <cellStyle name="常规 7" xfId="59"/>
    <cellStyle name="常规_06314_宝通项目概算(交流方案)_080505审" xfId="60"/>
    <cellStyle name="普通_水.一期.铁皮坑泵站设备" xfId="6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9.xml"/><Relationship Id="rId22" Type="http://schemas.openxmlformats.org/officeDocument/2006/relationships/externalLink" Target="externalLinks/externalLink8.xml"/><Relationship Id="rId21" Type="http://schemas.openxmlformats.org/officeDocument/2006/relationships/externalLink" Target="externalLinks/externalLink7.xml"/><Relationship Id="rId20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5.xml"/><Relationship Id="rId18" Type="http://schemas.openxmlformats.org/officeDocument/2006/relationships/externalLink" Target="externalLinks/externalLink4.xml"/><Relationship Id="rId17" Type="http://schemas.openxmlformats.org/officeDocument/2006/relationships/externalLink" Target="externalLinks/externalLink3.xml"/><Relationship Id="rId1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HS\Proposal\Non%20Ks\pertamina\ANNA\lind\Non%20KS\statomer\Foundation%20DA%207%20charging%20system%20statomer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../../../../../../http:/smartflow.inisteel.com/&#44221;&#49345;&#53804;&#51088;/&#49888;&#51228;&#49440;&#51665;&#51652;&#44592;/BC&#44204;&#51201;&#49436;/YUN-JS/AKF-2.XLS" TargetMode="External"/><Relationship Id="rId1" Type="http://schemas.openxmlformats.org/officeDocument/2006/relationships/externalLinkPath" Target="file:///\http:\smartflow.inisteel.com\&#44221;&#49345;&#53804;&#51088;\&#49888;&#51228;&#49440;&#51665;&#51652;&#44592;\BC&#44204;&#51201;&#49436;\YUN-JS\AKF-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../../../../../../&#51060;&#50689;&#49437;/c/My%20Documents/&#51201;&#49328;&#49444;&#44228;/CGL-PILOT/DRAFT/AKF-2.XLS" TargetMode="External"/><Relationship Id="rId1" Type="http://schemas.openxmlformats.org/officeDocument/2006/relationships/externalLinkPath" Target="\&#51060;&#50689;&#49437;\c\My%20Documents\&#51201;&#49328;&#49444;&#44228;\CGL-PILOT\DRAFT\AKF-2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../../../../../../http:/smartflow.inisteel.com/MMM.XLS" TargetMode="External"/><Relationship Id="rId1" Type="http://schemas.openxmlformats.org/officeDocument/2006/relationships/externalLinkPath" Target="file:///\http:\smartflow.inisteel.com\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002938.CISDI\Application%20Data\Microsoft\Excel\&#31119;&#24314;&#31119;&#27427;&#26045;&#24037;&#22270;&#35774;&#35745;&#20132;&#20184;&#29289;&#35745;&#21010;&#65288;&#32473;&#32918;&#65289;%20(version%201)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../../../../../../&#24037;&#20316;&#30456;&#20851;/&#25105;&#30340;&#24037;&#20316;/3.&#20272;&#27010;&#31639;/4.&#36711;&#38050;/001.&#28909;&#36711;-&#26495;&#24102;/0&#20013;&#21402;&#26495;/2021-06%2520&#27721;&#38050;2300mm&#36830;&#38136;&#12289;3500mm&#20013;&#21402;&#26495;&#36711;&#26426;&#24037;&#31243;&#21487;&#30740;&#65288;&#26361;&#31131;&#65289;/8.&#38485;&#38050;&#38598;&#22242;&#27721;&#38050;&#26032;&#24314;3500mm&#20013;&#21402;&#26495;&#29983;&#20135;&#32447;&#21021;&#27493;&#35774;&#35745;&#26041;&#26696;&#21450;&#25237;&#36164;&#65288;&#39033;&#30446;&#21495;%252082840134&#65289;/&#24402;&#26723;-&#38485;&#38050;&#38598;&#22242;&#27721;&#38050;&#26032;&#24314;3500mm&#20013;&#21402;&#26495;&#29983;&#20135;&#32447;&#21021;&#27493;&#35774;&#35745;&#26041;&#26696;&#65288;82840134&#65289;/&#21457;&#23435;&#27743;/3.&#32534;&#21046;&#24213;&#31295;&#21450;&#19987;&#19994;&#26041;&#26696;&#25991;&#26412;/http:/smartflow.inisteel.com/&#44221;&#49345;&#53804;&#51088;/&#49888;&#51228;&#49440;&#51665;&#51652;&#44592;/BC&#44204;&#51201;&#49436;/YUN-JS/AKF-2.XLS" TargetMode="External"/><Relationship Id="rId1" Type="http://schemas.openxmlformats.org/officeDocument/2006/relationships/externalLinkPath" Target="\293DF70E\AKF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003227\Desktop\EXCEL&#34920;Y-1&#20998;&#37096;&#20998;&#39033;&#24037;&#31243;&#37327;&#28165;&#21333;&#21450;&#25253;&#20215;&#34920;(1)1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../../../../../../&#50980;&#51452;&#49345;new/My%20Documents/0-DRAWING/&#51201;&#49328;&#49444;&#44228;/&#50672;&#51452;&#49444;&#48708;/EXCEL/IYK/AKF/AKF-2.XLS" TargetMode="External"/><Relationship Id="rId1" Type="http://schemas.openxmlformats.org/officeDocument/2006/relationships/externalLinkPath" Target="\&#50980;&#51452;&#49345;new\My%20Documents\0-DRAWING\&#51201;&#49328;&#49444;&#44228;\&#50672;&#51452;&#49444;&#48708;\EXCEL\IYK\AKF\AKF-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201;&#49328;&#49444;&#44228;\CGL-PILOT\DRAFT\AKF-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../../../../../../&#50980;&#51452;&#49345;new/My%20Documents/My%20Documents/&#51201;&#49328;&#49444;&#44228;/CGL-PILOT/DRAFT/AKF-2.XLS" TargetMode="External"/><Relationship Id="rId1" Type="http://schemas.openxmlformats.org/officeDocument/2006/relationships/externalLinkPath" Target="\&#50980;&#51452;&#49345;new\My%20Documents\My%20Documents\&#51201;&#49328;&#49444;&#44228;\CGL-PILOT\DRAFT\AKF-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E-PROP"/>
      <sheetName val="唐钢土建"/>
      <sheetName val="定额基价"/>
      <sheetName val="表三"/>
      <sheetName val="热力"/>
      <sheetName val="ENG-101"/>
      <sheetName val="钢筋"/>
      <sheetName val="도"/>
      <sheetName val="POL6차-PIPING"/>
      <sheetName val="#REF!"/>
      <sheetName val="指标"/>
      <sheetName val="分包合同信息"/>
      <sheetName val="计算"/>
      <sheetName val="6SE70"/>
      <sheetName val="other"/>
      <sheetName val="PI"/>
      <sheetName val="传动报价"/>
      <sheetName val="二期工程设备概算"/>
      <sheetName val="#REF"/>
      <sheetName val="螺栓"/>
      <sheetName val="Sheet2"/>
      <sheetName val="汇总表1"/>
      <sheetName val="4-3 보온 기본물량집계"/>
      <sheetName val="土"/>
      <sheetName val="工资计算"/>
      <sheetName val="SW-TEO"/>
      <sheetName val="물량"/>
      <sheetName val="산#2-1 (2)"/>
      <sheetName val="WEIGHT LIST"/>
      <sheetName val="供水安表三"/>
      <sheetName val="月报表"/>
      <sheetName val="PopCache"/>
      <sheetName val="管理班子配备"/>
      <sheetName val="分类 -名称管理器"/>
      <sheetName val="分类明细表-基价表"/>
      <sheetName val="FORM1"/>
      <sheetName val="산#3-1"/>
      <sheetName val="总表"/>
      <sheetName val="万元指标1"/>
      <sheetName val="结构"/>
      <sheetName val="Bangunan Utama"/>
      <sheetName val="산출"/>
      <sheetName val="Sheet5"/>
      <sheetName val="数据输入"/>
      <sheetName val="设计"/>
      <sheetName val="19-公司内部核算价格"/>
      <sheetName val="XLR_NoRangeSheet"/>
      <sheetName val="人工成本预算"/>
      <sheetName val="ccm"/>
      <sheetName val="C-L-SM-EA-D-002"/>
      <sheetName val="概算书 (4)"/>
      <sheetName val="G2TempSheet"/>
      <sheetName val="综合单价分析表"/>
      <sheetName val="概算表"/>
      <sheetName val="1-管理人员策划"/>
      <sheetName val="BEND LOSS"/>
      <sheetName val="5.소재"/>
      <sheetName val="4-3_보온_기본물량집계"/>
      <sheetName val="산#2-1_(2)"/>
      <sheetName val="分类_-名称管理器"/>
      <sheetName val="Bangunan_Utama"/>
      <sheetName val="WEIGHT_LIST"/>
      <sheetName val="Material"/>
      <sheetName val="MHR-ANLIS"/>
      <sheetName val="材料表-国内"/>
      <sheetName val="Sheet1"/>
      <sheetName val="Financ. Overview"/>
      <sheetName val="Toolbox"/>
      <sheetName val="Man Power &amp; Comp"/>
      <sheetName val="Gen Parameters"/>
      <sheetName val="Project Inputs"/>
      <sheetName val="CP Parameters"/>
      <sheetName val="Project Data Entry"/>
      <sheetName val="Pipes"/>
      <sheetName val="表六 "/>
      <sheetName val="采购"/>
      <sheetName val="산#3-2-2"/>
      <sheetName val="价目表"/>
      <sheetName val="Sheet7"/>
      <sheetName val="Sheet3"/>
      <sheetName val="Sheet6"/>
      <sheetName val="Sheet4"/>
      <sheetName val="输入"/>
      <sheetName val="现金流分析表（05-10-20）"/>
      <sheetName val="DZJ"/>
      <sheetName val="Input"/>
      <sheetName val="pipa32"/>
      <sheetName val="NH-PRECLEANING"/>
      <sheetName val="35KV变电站"/>
      <sheetName val="12mar98 electronic"/>
      <sheetName val="Pengalaman Per"/>
      <sheetName val="土建组价20201218"/>
      <sheetName val="采购权重系数参考表"/>
      <sheetName val="Analisa"/>
      <sheetName val="有效性"/>
      <sheetName val="notif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xxl21:alternateUrls xmlns:xxl21="http://schemas.microsoft.com/office/spreadsheetml/2021/extlinks2021">
      <xxl21:relativeUrl r:id="rId2"/>
    </xxl21:alternateUrls>
    <sheetNames>
      <sheetName val="PI"/>
      <sheetName val="도"/>
      <sheetName val="定额基价"/>
      <sheetName val="#REF"/>
      <sheetName val="WEIGHT LIST"/>
      <sheetName val="钢筋"/>
      <sheetName val="BEND LOSS"/>
      <sheetName val="G2TempSheet"/>
      <sheetName val="산#3-2-2"/>
      <sheetName val="산#3-1"/>
      <sheetName val="산#3-2"/>
      <sheetName val="배관BM(일반)"/>
      <sheetName val="물량"/>
      <sheetName val="산출"/>
      <sheetName val="XLR_NoRangeSheet"/>
      <sheetName val="PopCache"/>
      <sheetName val="5.소재"/>
      <sheetName val="POL6차-PIPING"/>
      <sheetName val="AKF-2"/>
      <sheetName val="表一2×100MW"/>
      <sheetName val="1-管理人员策划"/>
      <sheetName val="#REF!"/>
      <sheetName val="Cost From SAP"/>
      <sheetName val="价目表"/>
      <sheetName val="Sheet5"/>
      <sheetName val="4-3 보온 기본물량집계"/>
      <sheetName val="품셈 "/>
      <sheetName val="LG"/>
      <sheetName val="ccm"/>
      <sheetName val="산#2-1 (2)"/>
      <sheetName val="19-公司内部核算价格"/>
      <sheetName val="表三"/>
      <sheetName val="设计"/>
      <sheetName val="dwcb(1)"/>
      <sheetName val="月报表"/>
      <sheetName val="除灰系统表二"/>
      <sheetName val="指标"/>
      <sheetName val="表六 "/>
      <sheetName val="现金流分析表（05-10-20）"/>
      <sheetName val="采购"/>
      <sheetName val="TT"/>
      <sheetName val="sheet4"/>
      <sheetName val="预算构成"/>
      <sheetName val="供水安表三"/>
      <sheetName val="CORAT"/>
      <sheetName val="MHR-ANLIS"/>
      <sheetName val="Memb Schd"/>
      <sheetName val="Man Power"/>
      <sheetName val="목록"/>
      <sheetName val="기준"/>
      <sheetName val="Sheet1"/>
      <sheetName val="ENG-101"/>
      <sheetName val="정부노임단가"/>
      <sheetName val="내역서 "/>
      <sheetName val="结构"/>
      <sheetName val="螺栓"/>
      <sheetName val="电力"/>
      <sheetName val="工资计算"/>
      <sheetName val="EE-PROP"/>
      <sheetName val="参数表"/>
      <sheetName val="BOM"/>
      <sheetName val="Project"/>
      <sheetName val="IPL_SCHEDULE"/>
      <sheetName val="模板"/>
      <sheetName val="总措施项目"/>
      <sheetName val="综合单价汇总表"/>
      <sheetName val="eqpmad2"/>
      <sheetName val="泵站各参数表"/>
      <sheetName val="阀组分档-基本数据源"/>
      <sheetName val="Pengalaman Per"/>
      <sheetName val="Material"/>
      <sheetName val="Curves"/>
      <sheetName val="Note"/>
      <sheetName val="Heads"/>
      <sheetName val="Dbase"/>
      <sheetName val="Tables"/>
      <sheetName val="Page 2"/>
      <sheetName val="dwcb"/>
      <sheetName val="热力"/>
      <sheetName val="計算單(新)"/>
      <sheetName val="等级表代码索引表"/>
      <sheetName val="空调数据库 "/>
      <sheetName val="气象数据库"/>
      <sheetName val="Macro1"/>
      <sheetName val="CF-satu"/>
      <sheetName val="Pipes"/>
      <sheetName val="CF Rp-USD"/>
      <sheetName val="概算书 (4)"/>
      <sheetName val="Cabling Survey"/>
      <sheetName val="表三甲"/>
      <sheetName val="表四"/>
      <sheetName val="財務比例分析data"/>
      <sheetName val="FitOutConfCent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xxl21:alternateUrls xmlns:xxl21="http://schemas.microsoft.com/office/spreadsheetml/2021/extlinks2021">
      <xxl21:relativeUrl r:id="rId2"/>
    </xxl21:alternateUrls>
    <sheetNames>
      <sheetName val="PI"/>
      <sheetName val="산출"/>
      <sheetName val="PopCache"/>
      <sheetName val="G2TempSheet"/>
      <sheetName val="定额基价"/>
      <sheetName val="5.소재"/>
      <sheetName val="POL6차-PIPING"/>
      <sheetName val="AKF-2"/>
      <sheetName val="물량"/>
      <sheetName val="#REF"/>
      <sheetName val="산#3-2-2"/>
      <sheetName val="산#3-1"/>
      <sheetName val="산#3-2"/>
      <sheetName val="表一2×100MW"/>
      <sheetName val="LG"/>
      <sheetName val="价目表"/>
      <sheetName val="钢筋"/>
      <sheetName val="ccm"/>
      <sheetName val="BEND LOSS"/>
      <sheetName val="4-3 보온 기본물량집계"/>
      <sheetName val="도"/>
      <sheetName val="산#2-1 (2)"/>
      <sheetName val="#REF!"/>
      <sheetName val="C-L-SM-EA-D-002"/>
      <sheetName val="螺栓"/>
      <sheetName val="WEIGHT LIST"/>
      <sheetName val="月报表"/>
      <sheetName val="Referencias"/>
      <sheetName val="MHR-ANLIS"/>
      <sheetName val="工资计算"/>
      <sheetName val="19-公司内部核算价格"/>
      <sheetName val="土"/>
      <sheetName val="设计"/>
      <sheetName val="数据输入"/>
      <sheetName val="汇总"/>
      <sheetName val="목록"/>
      <sheetName val="기준"/>
      <sheetName val="热力"/>
      <sheetName val="XLR_NoRangeSheet"/>
      <sheetName val="表三"/>
      <sheetName val="Sheet5"/>
      <sheetName val="指标"/>
      <sheetName val="1-管理人员策划"/>
      <sheetName val="除灰系统表二"/>
      <sheetName val="Cabling Survey"/>
      <sheetName val="Decretos_PIS-COFINS"/>
      <sheetName val="唐钢土建"/>
      <sheetName val="Configuration"/>
      <sheetName val="清单"/>
      <sheetName val="水质分析"/>
      <sheetName val="BOM"/>
      <sheetName val="Project"/>
      <sheetName val="供水安表三"/>
      <sheetName val="옥외"/>
      <sheetName val="상각율"/>
      <sheetName val="방화도료산출근거"/>
      <sheetName val="A7"/>
      <sheetName val="미계약2"/>
      <sheetName val="DATA-UPS"/>
      <sheetName val="DATA"/>
      <sheetName val="kich thuoc"/>
      <sheetName val="DTHH"/>
      <sheetName val="기계내역서"/>
      <sheetName val="COVER"/>
      <sheetName val="ORIGN"/>
      <sheetName val="별표집계"/>
      <sheetName val="ETC"/>
      <sheetName val="단위중량표"/>
      <sheetName val="Sheet9"/>
      <sheetName val="스케즐"/>
      <sheetName val="입찰안"/>
      <sheetName val="sheet1 (2)"/>
      <sheetName val="도면자료제출일정"/>
      <sheetName val="품셈 "/>
      <sheetName val="내역서 "/>
      <sheetName val="수량산출"/>
      <sheetName val="공사내역"/>
      <sheetName val="자재단가"/>
      <sheetName val="3층LOAD"/>
      <sheetName val="1층LOAD"/>
      <sheetName val="총괄집계 (현대-거평분)"/>
      <sheetName val="공급기지(토목)"/>
      <sheetName val="Factor"/>
      <sheetName val="M-EQPT-Z"/>
      <sheetName val="기기리스트"/>
      <sheetName val="2층LOAD"/>
      <sheetName val="단중표"/>
      <sheetName val="품의서(TL)"/>
      <sheetName val="Sheet1"/>
      <sheetName val="ITEM"/>
      <sheetName val="vendor report"/>
      <sheetName val="EE-PROP"/>
      <sheetName val="総括表"/>
      <sheetName val="電装BQ"/>
      <sheetName val="機器集計表"/>
      <sheetName val="계수시트"/>
      <sheetName val="원가계산서"/>
      <sheetName val="단중표-ST"/>
      <sheetName val="CABLE SCHEDULE"/>
      <sheetName val="MACRO(MCC)"/>
      <sheetName val="구미"/>
      <sheetName val="경비공통"/>
      <sheetName val="상 부"/>
      <sheetName val="가열로SW"/>
      <sheetName val="대외공문"/>
      <sheetName val="BREAKDOWN(철거설치)"/>
      <sheetName val="빙장비사양"/>
      <sheetName val="장비사양"/>
      <sheetName val="수입"/>
      <sheetName val="Eier"/>
      <sheetName val="산출내역서집계표"/>
      <sheetName val="12CGOU"/>
      <sheetName val="MUK-List"/>
      <sheetName val="차액보증"/>
      <sheetName val="마감집계(창고)"/>
      <sheetName val="도장면적"/>
      <sheetName val="마감산근(창고)"/>
      <sheetName val="CAT_5"/>
      <sheetName val="부표총괄"/>
      <sheetName val="적용"/>
      <sheetName val="노임이"/>
      <sheetName val="설비비4"/>
      <sheetName val="몰탈콘크리트"/>
      <sheetName val="배관BM(일반)"/>
      <sheetName val="일위대가"/>
      <sheetName val="Baby일위대가"/>
      <sheetName val="일위대가(가설)"/>
      <sheetName val="A LINE"/>
      <sheetName val="단가"/>
      <sheetName val="일반공사"/>
      <sheetName val="건축공사실행"/>
      <sheetName val="PANEL가격"/>
      <sheetName val="정부노임단가"/>
      <sheetName val="견적"/>
      <sheetName val="cal"/>
      <sheetName val="ASCEandUBC"/>
      <sheetName val="가도공"/>
      <sheetName val="Ditch(open)"/>
      <sheetName val="WIND"/>
      <sheetName val="작성방법"/>
      <sheetName val="100.01"/>
      <sheetName val="내역서"/>
      <sheetName val="내역"/>
      <sheetName val="LOAD"/>
      <sheetName val="사업부배부A"/>
      <sheetName val="PSCbeam설계"/>
      <sheetName val="정산서 "/>
      <sheetName val="전선로도"/>
      <sheetName val="직노"/>
      <sheetName val="실행철강하도"/>
      <sheetName val="단가구성 (2)"/>
      <sheetName val="실행내역서 "/>
      <sheetName val="사업관리"/>
      <sheetName val="A"/>
      <sheetName val="노임단가"/>
      <sheetName val="적용기준"/>
      <sheetName val="영업소실적"/>
      <sheetName val="코드목록"/>
      <sheetName val="SUPTMTO"/>
      <sheetName val="s"/>
      <sheetName val="DATE"/>
      <sheetName val="2선재"/>
      <sheetName val="TABLE"/>
      <sheetName val="N賃率-職"/>
      <sheetName val="설비비3"/>
      <sheetName val="MOB-MAN1"/>
      <sheetName val="코드표"/>
      <sheetName val="환율 및 참고"/>
      <sheetName val="EQT-ESTN"/>
      <sheetName val="inter"/>
      <sheetName val="일위산출"/>
      <sheetName val="13.품질관리계획"/>
      <sheetName val="부대공사"/>
      <sheetName val="WOOD2"/>
      <sheetName val="Code"/>
      <sheetName val="loading"/>
      <sheetName val="설계산출표지"/>
      <sheetName val="제4절-1"/>
      <sheetName val="집계표"/>
      <sheetName val="환율-LIBOR"/>
      <sheetName val="SENSOR LIST"/>
      <sheetName val="산근"/>
      <sheetName val="COL"/>
      <sheetName val="CABLE SCH"/>
      <sheetName val="기성고"/>
      <sheetName val="실행예산SHEET도장재검토"/>
      <sheetName val="전기"/>
      <sheetName val="수목데이타 "/>
      <sheetName val="TIE-IN"/>
      <sheetName val="공사물량총량집계"/>
      <sheetName val="수량산출서"/>
      <sheetName val="전기실 산출"/>
      <sheetName val="공사비내역서"/>
      <sheetName val="갑지"/>
      <sheetName val="데이타"/>
      <sheetName val="식재인부"/>
      <sheetName val="Man Power &amp; Comp"/>
      <sheetName val="부하(성남)"/>
      <sheetName val="부하계산서"/>
      <sheetName val="8.INTER CONNECTING"/>
      <sheetName val="TOTAL"/>
      <sheetName val="CB"/>
      <sheetName val="계약ITEM"/>
      <sheetName val="설계명세서"/>
      <sheetName val="자료입력"/>
      <sheetName val="예산명세서"/>
      <sheetName val="Form Type"/>
      <sheetName val="일위대가목차"/>
      <sheetName val="ERECTION"/>
      <sheetName val="97연삭-3"/>
      <sheetName val="상세내역서"/>
      <sheetName val="VC2 8.98"/>
      <sheetName val="REINF."/>
      <sheetName val="공사비_NDE"/>
      <sheetName val="토목"/>
      <sheetName val="소일위대가코드표"/>
      <sheetName val="대비"/>
      <sheetName val="RENUN"/>
      <sheetName val="2."/>
      <sheetName val="도급"/>
      <sheetName val="도기류"/>
      <sheetName val="WEIGHT_LIST"/>
      <sheetName val="산#2-1_(2)"/>
      <sheetName val="A_LINE"/>
      <sheetName val="견적내역서"/>
      <sheetName val="전기공사일위대가"/>
      <sheetName val="VXXXXXXXXXXXXXXXXXXXXXXXX"/>
      <sheetName val="OPT"/>
      <sheetName val="SV"/>
      <sheetName val="부대공"/>
      <sheetName val="토공"/>
      <sheetName val="포장공"/>
      <sheetName val="금액내역서"/>
      <sheetName val="BEND_LOSS"/>
      <sheetName val="단가구성_(2)"/>
      <sheetName val="음성cable"/>
      <sheetName val="설비비6"/>
      <sheetName val="은행"/>
      <sheetName val="예제"/>
      <sheetName val="SAN"/>
      <sheetName val="공종단가"/>
      <sheetName val="아주기계"/>
      <sheetName val="인천제철"/>
      <sheetName val="6.INTER CONNECTING"/>
      <sheetName val="유첨3.적용기준"/>
      <sheetName val="금액결정"/>
      <sheetName val="일위대가(건축)"/>
      <sheetName val="PSUPPORT4 체크LIST"/>
      <sheetName val="일위대가_계측기설치_"/>
      <sheetName val="증감대비"/>
      <sheetName val="총괄표(설치)"/>
      <sheetName val="표지"/>
      <sheetName val="MACRO(전선관)"/>
      <sheetName val="부대내역"/>
      <sheetName val="Variables"/>
      <sheetName val="설비비2"/>
      <sheetName val="설비비5"/>
      <sheetName val="설비비1"/>
      <sheetName val="本体費見積"/>
      <sheetName val="总表 "/>
      <sheetName val="OIL SYST DATA SHTS"/>
      <sheetName val="dwcb"/>
      <sheetName val="表三甲"/>
      <sheetName val="表四"/>
      <sheetName val="Process Design"/>
      <sheetName val="Design Data"/>
      <sheetName val="Inputs"/>
      <sheetName val="参数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xxl21:alternateUrls xmlns:xxl21="http://schemas.microsoft.com/office/spreadsheetml/2021/extlinks2021">
      <xxl21:relativeUrl r:id="rId2"/>
    </xxl21:alternateUrls>
    <sheetNames>
      <sheetName val="POL6차-PIPING"/>
      <sheetName val="도"/>
      <sheetName val="1-管理人员策划"/>
      <sheetName val="물량"/>
      <sheetName val="G2TempSheet"/>
      <sheetName val="定额基价"/>
      <sheetName val="4-3 보온 기본물량집계"/>
      <sheetName val="PI"/>
      <sheetName val="품셈 "/>
      <sheetName val="有效性"/>
      <sheetName val="19-公司内部核算价格"/>
      <sheetName val="산#3-2-2"/>
      <sheetName val="#REF"/>
      <sheetName val="산#3-1"/>
      <sheetName val="산#3-2"/>
      <sheetName val="POL6?-PIPING"/>
      <sheetName val="POL6_-PIPING"/>
      <sheetName val="BEND LOSS"/>
      <sheetName val="钢筋"/>
      <sheetName val="价目表"/>
      <sheetName val="#REF!"/>
      <sheetName val="月报表"/>
      <sheetName val="5.소재"/>
      <sheetName val="指标"/>
      <sheetName val="Sheet5"/>
      <sheetName val="现金流分析表（05-10-20）"/>
      <sheetName val="螺栓"/>
      <sheetName val="산#2-1 (2)"/>
      <sheetName val="Bangunan Utama"/>
      <sheetName val="Man Power"/>
      <sheetName val="배관BM(일반)"/>
      <sheetName val="정부노임단가"/>
      <sheetName val="내역서 "/>
      <sheetName val="WEIGHT LIST"/>
      <sheetName val="Material"/>
      <sheetName val="XLR_NoRangeSheet"/>
      <sheetName val="表三"/>
      <sheetName val="管理班子配备"/>
      <sheetName val="工资计算"/>
      <sheetName val="EE-PROP"/>
      <sheetName val="PopCache"/>
      <sheetName val="00000ppy"/>
      <sheetName val="表三甲"/>
      <sheetName val="表四"/>
      <sheetName val="Variables"/>
      <sheetName val="Cost From SAP"/>
      <sheetName val="工艺设备"/>
      <sheetName val="BOM"/>
      <sheetName val="Project"/>
      <sheetName val="Aeration System"/>
      <sheetName val="Inlet Parameter"/>
      <sheetName val="Tank Sizing"/>
      <sheetName val="Configuration"/>
      <sheetName val="pipa32"/>
      <sheetName val="Pig_Iron_Summary"/>
      <sheetName val="Decretos_PIS-COFINS"/>
      <sheetName val="목록"/>
      <sheetName val="기준"/>
      <sheetName val="BQ-E20-02(Rp)"/>
      <sheetName val="输入"/>
      <sheetName val="산출"/>
      <sheetName val="CORAT"/>
      <sheetName val="indirect"/>
      <sheetName val="Pengalaman Per"/>
      <sheetName val="本体費見積"/>
      <sheetName val="MMM"/>
      <sheetName val="传动报价"/>
      <sheetName val="6SE70"/>
      <sheetName val="Referencias"/>
      <sheetName val="C-L-SM-EA-D-002"/>
      <sheetName val="Data"/>
      <sheetName val="预算构成"/>
      <sheetName val="电力"/>
      <sheetName val="数据库"/>
      <sheetName val="计算"/>
      <sheetName val="设计"/>
      <sheetName val="数据输入"/>
      <sheetName val="P. control"/>
      <sheetName val="OIL SYST DATA SHTS"/>
      <sheetName val="HOOK UP_ Total"/>
      <sheetName val="10.项目和项目公司现金流量表"/>
      <sheetName val="dwcb(碳钢)"/>
      <sheetName val="Macro1"/>
      <sheetName val="传动"/>
      <sheetName val="供电"/>
      <sheetName val="电缆单价"/>
      <sheetName val="仪表"/>
      <sheetName val="三级汇总-可研"/>
      <sheetName val="板加区"/>
      <sheetName val="设备"/>
      <sheetName val="汇总AM a"/>
      <sheetName val="设备 (AM)"/>
      <sheetName val="引进设备"/>
      <sheetName val="通风"/>
      <sheetName val="热力"/>
      <sheetName val="电讯"/>
      <sheetName val="给排水"/>
      <sheetName val="结构"/>
      <sheetName val="机修"/>
      <sheetName val="燃气"/>
      <sheetName val="检化验"/>
      <sheetName val="信息"/>
      <sheetName val="数字化中心"/>
      <sheetName val="总图"/>
      <sheetName val="二级汇总-可研"/>
      <sheetName val="汇总AM b"/>
      <sheetName val="ccm"/>
      <sheetName val="土建"/>
      <sheetName val="澄清问题"/>
      <sheetName val="钢结构计算"/>
      <sheetName val="ﾊﾟﾗﾒｰﾀ"/>
      <sheetName val="01炼钢"/>
      <sheetName val="Man Power &amp; Comp"/>
      <sheetName val="烟道热工计算"/>
      <sheetName val="空调数据库 "/>
      <sheetName val="等级表代码索引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pCache"/>
      <sheetName val="BneWorkBookProperties"/>
      <sheetName val="BneLog"/>
      <sheetName val="Sheet1"/>
      <sheetName val="4-3 보온 기본물량집계"/>
      <sheetName val="福建福欣施工图设计交付物计划（给肖） (version 1)"/>
      <sheetName val="定额基价"/>
      <sheetName val="PI"/>
      <sheetName val="ccm"/>
      <sheetName val="POL6차-PIPING"/>
      <sheetName val="C-L-SM-EA-D-002"/>
      <sheetName val="Referencias"/>
      <sheetName val="#REF"/>
      <sheetName val="산#3-2-2"/>
      <sheetName val="变频器"/>
      <sheetName val="Variables"/>
      <sheetName val="산#2-1 (2)"/>
      <sheetName val="螺栓"/>
      <sheetName val="PMD,SUMMARY"/>
      <sheetName val="sheet4"/>
      <sheetName val="Instruments_List"/>
      <sheetName val="BEND LOSS"/>
      <sheetName val="XLR_NoRangeSheet"/>
      <sheetName val="#REF!"/>
      <sheetName val="도"/>
      <sheetName val="钢筋"/>
      <sheetName val="품셈 "/>
      <sheetName val="有效性"/>
      <sheetName val="HOOK UP_ Total"/>
      <sheetName val="EE-PROP"/>
      <sheetName val="G2TempSheet"/>
      <sheetName val="热力"/>
      <sheetName val="WEIGHT LIST"/>
      <sheetName val="물량"/>
      <sheetName val="산#3-1"/>
      <sheetName val="表三"/>
      <sheetName val="不打印"/>
      <sheetName val="목록"/>
      <sheetName val="기준"/>
      <sheetName val="表一2×100MW"/>
      <sheetName val="月报表"/>
      <sheetName val="Decretos_PIS-COFINS"/>
      <sheetName val="CF-satu"/>
      <sheetName val="notifier"/>
      <sheetName val="传动报价"/>
      <sheetName val="5.소재"/>
      <sheetName val="배관BM(일반)"/>
      <sheetName val="采购"/>
      <sheetName val="指标"/>
      <sheetName val="Sheet5"/>
      <sheetName val="工艺设备"/>
      <sheetName val="敏感参数"/>
      <sheetName val="预算构成"/>
      <sheetName val="现金流分析表（05-10-20）"/>
      <sheetName val="仕掛報告明細"/>
      <sheetName val="19-公司内部核算价格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xxl21:alternateUrls xmlns:xxl21="http://schemas.microsoft.com/office/spreadsheetml/2021/extlinks2021">
      <xxl21:relativeUrl r:id="rId2"/>
    </xxl21:alternateUrls>
    <sheetNames>
      <sheetName val="PI"/>
      <sheetName val="도"/>
      <sheetName val="定额基价"/>
      <sheetName val="#REF"/>
      <sheetName val="WEIGHT LIST"/>
      <sheetName val="钢筋"/>
      <sheetName val="BEND LOSS"/>
      <sheetName val="물량"/>
      <sheetName val="배관BM(일반)"/>
      <sheetName val="G2TempSheet"/>
      <sheetName val="산#3-2-2"/>
      <sheetName val="산#3-1"/>
      <sheetName val="산#3-2"/>
      <sheetName val="산출"/>
      <sheetName val="XLR_NoRangeSheet"/>
      <sheetName val="PopCache"/>
      <sheetName val="5.소재"/>
      <sheetName val="POL6차-PIPING"/>
      <sheetName val="AKF-2"/>
      <sheetName val="表一2×100MW"/>
      <sheetName val="现金流分析表（05-10-20）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  <sheetName val="钢筋"/>
      <sheetName val="定额基价"/>
      <sheetName val="#REF"/>
      <sheetName val="111"/>
      <sheetName val="BEND LOSS"/>
      <sheetName val="G2TempSheet"/>
      <sheetName val="POL6차-PIPING"/>
      <sheetName val="PI"/>
      <sheetName val="4-3 보온 기본물량집계"/>
      <sheetName val="물량"/>
      <sheetName val="月报表"/>
      <sheetName val="5.소재"/>
      <sheetName val="价目表"/>
      <sheetName val="산#2-1 (2)"/>
      <sheetName val="산#3-2-2"/>
      <sheetName val="산#3-1"/>
      <sheetName val="산#3-2"/>
      <sheetName val="C-L-SM-EA-D-002"/>
      <sheetName val="도"/>
      <sheetName val="WEIGHT LIST"/>
      <sheetName val="#REF!"/>
      <sheetName val="목록"/>
      <sheetName val="기준"/>
      <sheetName val="PopCache"/>
      <sheetName val="정부노임단가"/>
      <sheetName val="내역서 "/>
      <sheetName val="배관BM(일반)"/>
      <sheetName val="电讯"/>
      <sheetName val="IPL_SCHEDULE"/>
      <sheetName val="Decretos_PIS-COFINS"/>
      <sheetName val="EXCEL表Y-1分部分项工程量清单及报价表(1)1"/>
      <sheetName val="价格体系"/>
      <sheetName val="热力"/>
      <sheetName val="품셈 "/>
      <sheetName val="变频器"/>
      <sheetName val="1-管理人员策划"/>
      <sheetName val="Toolbox"/>
      <sheetName val="Sheet5"/>
      <sheetName val="总表 "/>
      <sheetName val="表三"/>
      <sheetName val="螺栓"/>
      <sheetName val="Referencias"/>
      <sheetName val="给排水"/>
      <sheetName val="有效性"/>
      <sheetName val="dwcb(1)"/>
      <sheetName val="基本数据"/>
      <sheetName val="Man Power &amp; Comp"/>
      <sheetName val="Conn. Lib"/>
      <sheetName val="表三甲"/>
      <sheetName val="面积指标"/>
      <sheetName val="附表二(国电)"/>
      <sheetName val="5201.2004"/>
      <sheetName val="池容和曝气"/>
      <sheetName val="膜系统"/>
      <sheetName val="表四"/>
      <sheetName val="sheet4"/>
      <sheetName val="Instruments_List"/>
      <sheetName val="ccm"/>
      <sheetName val="土建"/>
      <sheetName val="dwcb(碳钢)"/>
      <sheetName val="AHSbj"/>
      <sheetName val="Man Power"/>
      <sheetName val="19-公司内部核算价格"/>
      <sheetName val="std.wt."/>
      <sheetName val="BI"/>
      <sheetName val="6SE70"/>
      <sheetName val="other"/>
      <sheetName val="采购"/>
      <sheetName val="万元指标1"/>
      <sheetName val="表一2×100MW"/>
      <sheetName val="HOOK UP_ Total"/>
      <sheetName val="表六 "/>
      <sheetName val="TT"/>
      <sheetName val="不打印"/>
      <sheetName val="供水安表三"/>
      <sheetName val="除灰系统表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xxl21:alternateUrls xmlns:xxl21="http://schemas.microsoft.com/office/spreadsheetml/2021/extlinks2021">
      <xxl21:relativeUrl r:id="rId2"/>
    </xxl21:alternateUrls>
    <sheetNames>
      <sheetName val="PI"/>
      <sheetName val="WEIGHT LIST"/>
      <sheetName val="배관BM(일반)"/>
      <sheetName val="물량"/>
      <sheetName val="#REF"/>
      <sheetName val="산#2-1 (2)"/>
      <sheetName val="산#3-1"/>
      <sheetName val="19-公司内部核算价格"/>
      <sheetName val="POL6차-PIPING"/>
      <sheetName val="1-管理人员策划"/>
      <sheetName val="表三"/>
      <sheetName val="dwcb(1)"/>
      <sheetName val="设计"/>
      <sheetName val="除灰系统表二"/>
      <sheetName val="月报表"/>
      <sheetName val="钢筋"/>
      <sheetName val="定额基价"/>
      <sheetName val="现金流分析表（05-10-20）"/>
      <sheetName val="4-3 보온 기본물량집계"/>
      <sheetName val="指标"/>
      <sheetName val="表六 "/>
      <sheetName val="XLR_NoRangeSheet"/>
      <sheetName val="BEND LOSS"/>
      <sheetName val="Sheet5"/>
      <sheetName val="5.소재"/>
      <sheetName val="AKF-2"/>
      <sheetName val="#REF!"/>
      <sheetName val="工资计算"/>
      <sheetName val="PopCache"/>
      <sheetName val="EE-PROP"/>
      <sheetName val="万元指标1"/>
      <sheetName val="G2TempSheet"/>
      <sheetName val="도"/>
      <sheetName val="表三甲"/>
      <sheetName val="表四"/>
      <sheetName val="A翼写字楼"/>
      <sheetName val="参数表"/>
      <sheetName val="预算构成"/>
      <sheetName val="计算"/>
      <sheetName val="Cost From SAP"/>
      <sheetName val="정부노임단가"/>
      <sheetName val="내역서 "/>
      <sheetName val="有效性"/>
      <sheetName val="TT"/>
      <sheetName val="C-L-SM-EA-D-002"/>
      <sheetName val="供水安表三"/>
      <sheetName val="写字楼B"/>
      <sheetName val="二期工程设备概算"/>
      <sheetName val="土建组价20201218"/>
      <sheetName val="汇总表"/>
      <sheetName val="7.1单价构成表"/>
      <sheetName val="原始数据"/>
      <sheetName val="일위대가"/>
      <sheetName val="일위대가(가설)"/>
      <sheetName val="Baby일위대가"/>
      <sheetName val="A LINE"/>
      <sheetName val="일반공사"/>
      <sheetName val="단가"/>
      <sheetName val="차액보증"/>
      <sheetName val="건축공사실행"/>
      <sheetName val="PANEL가격"/>
      <sheetName val="견적"/>
      <sheetName val="CAT_5"/>
      <sheetName val="cal"/>
      <sheetName val="ASCEandUBC"/>
      <sheetName val="가도공"/>
      <sheetName val="Sheet1"/>
      <sheetName val="Ditch(open)"/>
      <sheetName val="WIND"/>
      <sheetName val="내역"/>
      <sheetName val="전선로도"/>
      <sheetName val="WEIGHT_LIST"/>
      <sheetName val="산#2-1_(2)"/>
      <sheetName val="A_LINE"/>
      <sheetName val="내역서"/>
      <sheetName val="작성방법"/>
      <sheetName val="ORIGN"/>
      <sheetName val="100.01"/>
      <sheetName val="직노"/>
      <sheetName val="사업부배부A"/>
      <sheetName val="COL"/>
      <sheetName val="수목데이타 "/>
      <sheetName val="cost"/>
      <sheetName val="PSCbeam설계"/>
      <sheetName val="VXXXXXXXXXXXXXXXXXXXXXXXX"/>
      <sheetName val="OPT"/>
      <sheetName val="SV"/>
      <sheetName val="DATA"/>
      <sheetName val="금액내역서"/>
      <sheetName val="LOAD"/>
      <sheetName val="정산서 "/>
      <sheetName val="터널조도"/>
      <sheetName val="노무비"/>
      <sheetName val="실행예산SHEET도장재검토"/>
      <sheetName val="노임단가"/>
      <sheetName val="견적내역서"/>
      <sheetName val="TOTAL"/>
      <sheetName val="철거산출근거"/>
      <sheetName val="5.공종별예산내역서"/>
      <sheetName val="전기공사일위대가"/>
      <sheetName val="전기"/>
      <sheetName val="CABLE SCH"/>
      <sheetName val="부대공"/>
      <sheetName val="토공"/>
      <sheetName val="포장공"/>
      <sheetName val="도기류"/>
      <sheetName val="현장관리비"/>
      <sheetName val="95신규호표"/>
      <sheetName val="기성고"/>
      <sheetName val="산출근거자료"/>
      <sheetName val="감가상각"/>
      <sheetName val="통장출금액"/>
      <sheetName val="유가증권LS"/>
      <sheetName val="휴일check"/>
      <sheetName val="격외품(2014년)"/>
      <sheetName val="공급집계 (현대-우림)"/>
      <sheetName val="PILOT품"/>
      <sheetName val="M96현황-동아"/>
      <sheetName val="8.INTER CONNECTING"/>
      <sheetName val="BQMPALOC"/>
      <sheetName val="자바라1"/>
      <sheetName val="수량산출서"/>
      <sheetName val="공사물량총량집계"/>
      <sheetName val="PROGRAM_DATA"/>
      <sheetName val="Man Power &amp; Comp"/>
      <sheetName val="단중표"/>
      <sheetName val="일위대가(건축)"/>
      <sheetName val="WEIGHT_LIST1"/>
      <sheetName val="산#2-1_(2)1"/>
      <sheetName val="A_LINE1"/>
      <sheetName val="BEND_LOSS"/>
      <sheetName val="내역서_"/>
      <sheetName val="5_소재"/>
      <sheetName val="100_01"/>
      <sheetName val="수목데이타_"/>
      <sheetName val="4-3_보온_기본물량집계"/>
      <sheetName val="정산서_"/>
      <sheetName val="공급집계_(현대-우림)"/>
      <sheetName val="CABLE_SCH"/>
      <sheetName val="8_INTER_CONNECTING"/>
      <sheetName val="Man_Power_&amp;_Comp"/>
      <sheetName val="5_공종별예산내역서"/>
      <sheetName val="기계설비-내역서"/>
      <sheetName val="가열로SW"/>
      <sheetName val="환율-LIBOR"/>
      <sheetName val="SENSOR LIST"/>
      <sheetName val="옥외"/>
      <sheetName val="상각율"/>
      <sheetName val="산근"/>
      <sheetName val="적용"/>
      <sheetName val="A"/>
      <sheetName val="설비비4"/>
      <sheetName val="부표총괄"/>
      <sheetName val="산#3-2-2"/>
      <sheetName val="산#3-2"/>
      <sheetName val="코드목록"/>
      <sheetName val="SUPTMTO"/>
      <sheetName val="s"/>
      <sheetName val="DATE"/>
      <sheetName val="산출"/>
      <sheetName val="A7"/>
      <sheetName val="미계약2"/>
      <sheetName val="방화도료산출근거"/>
      <sheetName val="실행철강하도"/>
      <sheetName val="DATA-UPS"/>
      <sheetName val="노임이"/>
      <sheetName val="마감집계(창고)"/>
      <sheetName val="도장면적"/>
      <sheetName val="마감산근(창고)"/>
      <sheetName val="몰탈콘크리트"/>
      <sheetName val="적용기준"/>
      <sheetName val="영업소실적"/>
      <sheetName val="단가구성 (2)"/>
      <sheetName val="COVER"/>
      <sheetName val="실행내역서 "/>
      <sheetName val="사업관리"/>
      <sheetName val="TIE-IN"/>
      <sheetName val="MOB-MAN1"/>
      <sheetName val="전기실 산출"/>
      <sheetName val="N賃率-職"/>
      <sheetName val="TABLE"/>
      <sheetName val="2선재"/>
      <sheetName val="코드표"/>
      <sheetName val="기계내역서"/>
      <sheetName val="공사비_NDE"/>
      <sheetName val="토목"/>
      <sheetName val="소일위대가코드표"/>
      <sheetName val="대비"/>
      <sheetName val="RENUN"/>
      <sheetName val="2."/>
      <sheetName val="도급"/>
      <sheetName val="CODE"/>
      <sheetName val="유첨3.적용기준"/>
      <sheetName val="금액결정"/>
      <sheetName val="설비비3"/>
      <sheetName val="단가구성_(2)"/>
      <sheetName val="음성cable"/>
      <sheetName val="설비비6"/>
      <sheetName val="은행"/>
      <sheetName val="예제"/>
      <sheetName val="SAN"/>
      <sheetName val="공종단가"/>
      <sheetName val="아주기계"/>
      <sheetName val="인천제철"/>
      <sheetName val="6.INTER CONNECTING"/>
      <sheetName val="MUK-List"/>
      <sheetName val="CABLE BULK"/>
      <sheetName val="kich thuoc"/>
      <sheetName val="DTHH"/>
      <sheetName val="개요"/>
      <sheetName val="C-List"/>
      <sheetName val="R&amp;D"/>
      <sheetName val="costing_CV"/>
      <sheetName val="단가일람"/>
      <sheetName val="조경일람"/>
      <sheetName val="공내역"/>
      <sheetName val="공사비"/>
      <sheetName val="변압기 및 발전기 용량"/>
      <sheetName val="기계"/>
      <sheetName val="신규DEP"/>
      <sheetName val="승용"/>
      <sheetName val="inter"/>
      <sheetName val="인벤토리총괄표"/>
      <sheetName val="spinning1"/>
      <sheetName val="재료율"/>
      <sheetName val="DWPM"/>
      <sheetName val="5.세운W-A"/>
      <sheetName val="상선"/>
      <sheetName val="예총"/>
      <sheetName val="T-TABLE"/>
      <sheetName val="과천MAIN"/>
      <sheetName val="LOPCALC"/>
      <sheetName val="도급양식"/>
      <sheetName val="일위대가표(DEEP)"/>
      <sheetName val="2월"/>
      <sheetName val="갑지(추정)"/>
      <sheetName val="공사예산하조서(O.K)"/>
      <sheetName val="저"/>
      <sheetName val="노무비단가"/>
      <sheetName val="부하(성남)"/>
      <sheetName val="내역서 (물자+물정) "/>
      <sheetName val="단가조사"/>
      <sheetName val="XREF"/>
      <sheetName val="산출-설비"/>
      <sheetName val="예산"/>
      <sheetName val="단가산출"/>
      <sheetName val="토건"/>
      <sheetName val="1.열용량"/>
      <sheetName val="report"/>
      <sheetName val="공량산출서"/>
      <sheetName val="인건-측정"/>
      <sheetName val="1차 내역서"/>
      <sheetName val="2공구산출내역"/>
      <sheetName val="DESIGN CRETERIA"/>
      <sheetName val="기초자료"/>
      <sheetName val="표지"/>
      <sheetName val="견적집계표"/>
      <sheetName val="기계경비"/>
      <sheetName val="DRUM"/>
      <sheetName val="산수배수"/>
      <sheetName val="기초자료입력"/>
      <sheetName val="POL설치공정"/>
      <sheetName val="tggwan(mac)"/>
      <sheetName val="손익차9월2"/>
      <sheetName val="연도별cash"/>
      <sheetName val="공조기"/>
      <sheetName val="WEIGHT_LIST2"/>
      <sheetName val="산#2-1_(2)2"/>
      <sheetName val="A_LINE2"/>
      <sheetName val="BEND_LOSS1"/>
      <sheetName val="수목데이타_1"/>
      <sheetName val="내역서_1"/>
      <sheetName val="5_소재1"/>
      <sheetName val="100_011"/>
      <sheetName val="CABLE_SCH1"/>
      <sheetName val="정산서_1"/>
      <sheetName val="4-3_보온_기본물량집계1"/>
      <sheetName val="공급집계_(현대-우림)1"/>
      <sheetName val="8_INTER_CONNECTING1"/>
      <sheetName val="5_공종별예산내역서1"/>
      <sheetName val="Man_Power_&amp;_Comp1"/>
      <sheetName val="SENSOR_LIST"/>
      <sheetName val="단가구성_(2)1"/>
      <sheetName val="실행내역서_"/>
      <sheetName val="전기실_산출"/>
      <sheetName val="2_"/>
      <sheetName val="유첨3_적용기준"/>
      <sheetName val="6_INTER_CONNECTING"/>
      <sheetName val="CABLE_BULK"/>
      <sheetName val="kich_thuoc"/>
      <sheetName val="5_세운W-A"/>
      <sheetName val="변압기_및_발전기_용량"/>
      <sheetName val="공사예산하조서(O_K)"/>
      <sheetName val="내역서_(물자+물정)_"/>
      <sheetName val="1_열용량"/>
      <sheetName val="DESIGN_CRETERIA"/>
      <sheetName val="1차_내역서"/>
      <sheetName val="汇总"/>
      <sheetName val="S2－建筑"/>
      <sheetName val="품셈 "/>
      <sheetName val="输入条件"/>
      <sheetName val="采购"/>
      <sheetName val="sheet4"/>
      <sheetName val="Cash2"/>
      <sheetName val="Z"/>
      <sheetName val="Eqpt"/>
      <sheetName val="Summary Costo h"/>
      <sheetName val="土"/>
      <sheetName val="Conn. Lib"/>
      <sheetName val="CORAT"/>
      <sheetName val="177负荷计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I"/>
      <sheetName val="BEND LOSS"/>
      <sheetName val="POL6차-PIPING"/>
      <sheetName val="도"/>
      <sheetName val="5.소재"/>
      <sheetName val="Sheet5"/>
      <sheetName val="XLR_NoRangeSheet"/>
      <sheetName val="定额基价"/>
      <sheetName val="배관BM(일반)"/>
      <sheetName val="除灰系统表二"/>
      <sheetName val="月报表"/>
      <sheetName val="물량"/>
      <sheetName val="采购"/>
      <sheetName val="G2TempSheet"/>
      <sheetName val="指标"/>
      <sheetName val="钢筋"/>
      <sheetName val="TT"/>
      <sheetName val="表三"/>
      <sheetName val="现金流分析表（05-10-20）"/>
      <sheetName val="19-公司内部核算价格"/>
      <sheetName val="WEIGHT LIST"/>
      <sheetName val="AKF-2"/>
      <sheetName val="给排水"/>
      <sheetName val="산#3-2-2"/>
      <sheetName val="#REF"/>
      <sheetName val="산#3-1"/>
      <sheetName val="산#3-2"/>
      <sheetName val="工资计算"/>
      <sheetName val="ccm"/>
      <sheetName val="정부노임단가"/>
      <sheetName val="내역서 "/>
      <sheetName val="表一2×100MW"/>
      <sheetName val="有效性"/>
      <sheetName val="总措施项目"/>
      <sheetName val="参数表"/>
      <sheetName val="#REF!"/>
      <sheetName val="供水安表三"/>
      <sheetName val="sheet4"/>
      <sheetName val="表六 "/>
      <sheetName val="Cost From SAP"/>
      <sheetName val="4-3 보온 기본물량집계"/>
      <sheetName val="PopCache"/>
      <sheetName val="1-管理人员策划"/>
      <sheetName val="预算构成"/>
      <sheetName val="自动化"/>
      <sheetName val="万元指标1"/>
      <sheetName val="土"/>
      <sheetName val="二期工程设备概算"/>
      <sheetName val="计算"/>
      <sheetName val="목록"/>
      <sheetName val="기준"/>
      <sheetName val="코드목록"/>
      <sheetName val="TABLE"/>
      <sheetName val="일위대가(가설)"/>
      <sheetName val="SUPTMTO"/>
      <sheetName val="단가구성 (2)"/>
      <sheetName val="내역서"/>
      <sheetName val="s"/>
      <sheetName val="DATE"/>
      <sheetName val="단중표"/>
      <sheetName val="BEND_LOSS"/>
      <sheetName val="단가구성_(2)"/>
      <sheetName val="실행철강하도"/>
      <sheetName val="2선재"/>
      <sheetName val="코드표"/>
      <sheetName val="사업관리"/>
      <sheetName val="작성방법"/>
      <sheetName val="가열로SW"/>
      <sheetName val="N賃率-職"/>
      <sheetName val="PANEL가격"/>
      <sheetName val="견적"/>
      <sheetName val="CAT_5"/>
      <sheetName val="cal"/>
      <sheetName val="ASCEandUBC"/>
      <sheetName val="가도공"/>
      <sheetName val="ORIGN"/>
      <sheetName val="설비비3"/>
      <sheetName val="설비비4"/>
      <sheetName val="SAN"/>
      <sheetName val="음성cable"/>
      <sheetName val="아주기계"/>
      <sheetName val="인천제철"/>
      <sheetName val="한강운반비"/>
      <sheetName val="갑지(추정)"/>
      <sheetName val="APT"/>
      <sheetName val="bid"/>
      <sheetName val="TIE-IN"/>
      <sheetName val="일위대가(1)"/>
      <sheetName val="MOB-MAN1"/>
      <sheetName val="보안등"/>
      <sheetName val="노임단가"/>
      <sheetName val="음성(cable)"/>
      <sheetName val="최초 bpm"/>
      <sheetName val="DHEQSUPT"/>
      <sheetName val="예총"/>
      <sheetName val="공사"/>
      <sheetName val="실행내역서 "/>
      <sheetName val="단가산출"/>
      <sheetName val="증감대비"/>
      <sheetName val="설비비1"/>
      <sheetName val="TOTAL"/>
      <sheetName val="전기실 산출"/>
      <sheetName val="설비비6"/>
      <sheetName val="은행"/>
      <sheetName val="예제"/>
      <sheetName val="공종단가"/>
      <sheetName val="3후판"/>
      <sheetName val="참고자료"/>
      <sheetName val="PIPE(UG)내역"/>
      <sheetName val="포장공(집계)"/>
      <sheetName val="98수문일위"/>
      <sheetName val="8.수량산출 (2)"/>
      <sheetName val="001"/>
      <sheetName val="설비비2"/>
      <sheetName val="설비비5"/>
      <sheetName val="기본"/>
      <sheetName val="유첨3.적용기준"/>
      <sheetName val="도면자료제출일정"/>
      <sheetName val="용선 C.L"/>
      <sheetName val="식재인부"/>
      <sheetName val="전기공사일위대가"/>
      <sheetName val="내역"/>
      <sheetName val="4-3_보온_기본물량집계"/>
      <sheetName val="cost"/>
      <sheetName val="차액보증"/>
      <sheetName val="토목수량(공정)"/>
      <sheetName val="차체부품 INS REPORT(갑)"/>
      <sheetName val="기계"/>
      <sheetName val="견적서"/>
      <sheetName val="10.25"/>
      <sheetName val="출장거리"/>
      <sheetName val="인벤토리총괄표"/>
      <sheetName val="내구품질향상1"/>
      <sheetName val="laroux"/>
      <sheetName val="98NS-N"/>
      <sheetName val="시운전연료"/>
      <sheetName val="수토공단위당"/>
      <sheetName val="공내역"/>
      <sheetName val="명세서"/>
      <sheetName val="총집계표"/>
      <sheetName val="R&amp;D"/>
      <sheetName val="엑셀결산"/>
      <sheetName val="품종별-이름"/>
      <sheetName val="WOOD2"/>
      <sheetName val="공비대비"/>
      <sheetName val="COVER"/>
      <sheetName val="설비비TRT"/>
      <sheetName val="코드목록(시스템담당용)"/>
      <sheetName val="표지"/>
      <sheetName val="공사물량총량집계"/>
      <sheetName val="수량산출서"/>
      <sheetName val="일위대가"/>
      <sheetName val="적용기준"/>
      <sheetName val="HEAT_입력자료"/>
      <sheetName val="노임"/>
      <sheetName val="8.PILE  (돌출)"/>
      <sheetName val="T-TABLE"/>
      <sheetName val="PROGRAM_DATA"/>
      <sheetName val="수목데이타 "/>
      <sheetName val="CB"/>
      <sheetName val="소일위대가코드표"/>
      <sheetName val="품셈표"/>
      <sheetName val="단가집"/>
      <sheetName val="Man Power"/>
      <sheetName val="Man Power &amp; Comp"/>
      <sheetName val="총괄집계 (현대-거평분)"/>
      <sheetName val="공급기지(토목)"/>
      <sheetName val="TDI ISBL"/>
      <sheetName val="공정양식"/>
      <sheetName val="MHR-ANLIS"/>
      <sheetName val="MUK-List"/>
      <sheetName val="Sheet1 (2)"/>
      <sheetName val="IT-BAT"/>
      <sheetName val="SENSOR LIST"/>
      <sheetName val="indirect"/>
      <sheetName val="효율&amp;역율"/>
      <sheetName val="환율-LIBOR"/>
      <sheetName val="조도계산서 (도서)"/>
      <sheetName val="General Data"/>
      <sheetName val="WORK"/>
      <sheetName val="Proposal"/>
      <sheetName val="품셈 "/>
      <sheetName val="PAINT"/>
      <sheetName val="방화도료"/>
      <sheetName val="EE-PROP"/>
      <sheetName val="Eier"/>
      <sheetName val="토건"/>
      <sheetName val="적용"/>
      <sheetName val="Pengalaman Per"/>
      <sheetName val="Y-WORK"/>
      <sheetName val="ITEM"/>
      <sheetName val="PBS"/>
      <sheetName val="BQ"/>
      <sheetName val="ENG-101"/>
      <sheetName val="PIPE"/>
      <sheetName val="FLANGE"/>
      <sheetName val="VALVE"/>
      <sheetName val="기계내역서"/>
      <sheetName val="경비2내역"/>
      <sheetName val="인상효1"/>
      <sheetName val="기본데이타입력"/>
      <sheetName val="실적"/>
      <sheetName val="POWER"/>
      <sheetName val="단가표(2010.3)"/>
      <sheetName val="참고"/>
      <sheetName val="편성절차"/>
      <sheetName val="기계공사"/>
      <sheetName val="공사비"/>
      <sheetName val="산수배수"/>
      <sheetName val="단가"/>
      <sheetName val="내역(중앙)"/>
      <sheetName val="연장및면적(좌측)"/>
      <sheetName val="일위대가표(DEEP)"/>
      <sheetName val="BEND_LOSS1"/>
      <sheetName val="단가구성_(2)1"/>
      <sheetName val="4-3_보온_기본물량집계1"/>
      <sheetName val="5_소재"/>
      <sheetName val="내역서_"/>
      <sheetName val="최초_bpm"/>
      <sheetName val="전기실_산출"/>
      <sheetName val="실행내역서_"/>
      <sheetName val="8_수량산출_(2)"/>
      <sheetName val="유첨3_적용기준"/>
      <sheetName val="용선_C_L"/>
      <sheetName val="차체부품_INS_REPORT(갑)"/>
      <sheetName val="10_25"/>
      <sheetName val="8_PILE__(돌출)"/>
      <sheetName val="수목데이타_"/>
      <sheetName val="Man_Power"/>
      <sheetName val="Man_Power_&amp;_Comp"/>
      <sheetName val="총괄집계_(현대-거평분)"/>
      <sheetName val="TDI_ISBL"/>
      <sheetName val="Sheet1_(2)"/>
      <sheetName val="SENSOR_LIST"/>
      <sheetName val="조도계산서_(도서)"/>
      <sheetName val="General_Data"/>
      <sheetName val="품셈_"/>
      <sheetName val="Pengalaman_Per"/>
      <sheetName val="단가표(2010_3)"/>
      <sheetName val="报价单"/>
      <sheetName val="输入条件"/>
      <sheetName val="입찰내역 발주처 양식"/>
      <sheetName val="HYDROTEST DIAGRAM"/>
      <sheetName val="산#2-1 (2)"/>
      <sheetName val="Instruments_List"/>
      <sheetName val="仕掛報告明細"/>
      <sheetName val="价格体系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xxl21:alternateUrls xmlns:xxl21="http://schemas.microsoft.com/office/spreadsheetml/2021/extlinks2021">
      <xxl21:relativeUrl r:id="rId2"/>
    </xxl21:alternateUrls>
    <sheetNames>
      <sheetName val="PI"/>
      <sheetName val="BEND LOSS"/>
      <sheetName val="Sheet5"/>
      <sheetName val="现金流分析表（05-10-20）"/>
      <sheetName val="POL6차-PIPING"/>
      <sheetName val="XLR_NoRangeSheet"/>
      <sheetName val="月报表"/>
      <sheetName val="배관BM(일반)"/>
      <sheetName val="除灰系统表二"/>
      <sheetName val="预算构成"/>
      <sheetName val="供水安表三"/>
      <sheetName val="钢筋"/>
      <sheetName val="#REF"/>
      <sheetName val="sheet4"/>
      <sheetName val="도"/>
      <sheetName val="定额基价"/>
      <sheetName val="5.소재"/>
      <sheetName val="WEIGHT LIST"/>
      <sheetName val="#REF!"/>
      <sheetName val="품셈 "/>
      <sheetName val="工资计算"/>
      <sheetName val="给排水"/>
      <sheetName val="螺栓"/>
      <sheetName val="EE-PROP"/>
      <sheetName val="指标"/>
      <sheetName val="정부노임단가"/>
      <sheetName val="내역서 "/>
      <sheetName val="물량"/>
      <sheetName val="管理班子配备"/>
      <sheetName val="TT"/>
      <sheetName val="AKF-2"/>
      <sheetName val="19-公司内部核算价格"/>
      <sheetName val="写字楼B"/>
      <sheetName val="1-管理人员策划"/>
      <sheetName val="表三"/>
      <sheetName val="采购"/>
      <sheetName val="G2TempSheet"/>
      <sheetName val="산#3-2-2"/>
      <sheetName val="산#3-1"/>
      <sheetName val="산#3-2"/>
      <sheetName val="산출"/>
      <sheetName val="산#2-1 (2)"/>
      <sheetName val="Pig_Iron_Summary"/>
      <sheetName val="Sheet1"/>
      <sheetName val="自动化"/>
      <sheetName val="炼铁设备"/>
      <sheetName val="二期工程设备概算"/>
      <sheetName val="FORM1"/>
      <sheetName val="计算"/>
      <sheetName val="설비비2"/>
      <sheetName val="설비비3"/>
      <sheetName val="설비비5"/>
      <sheetName val="설비비6"/>
      <sheetName val="설비비1"/>
      <sheetName val="表六 "/>
      <sheetName val="설비비4"/>
      <sheetName val="단중표"/>
      <sheetName val="실행철강하도"/>
      <sheetName val="단가구성 (2)"/>
      <sheetName val="4-3 보온 기본물량집계"/>
      <sheetName val="PANEL가격"/>
      <sheetName val="견적"/>
      <sheetName val="CAT_5"/>
      <sheetName val="cal"/>
      <sheetName val="ASCEandUBC"/>
      <sheetName val="공사물량총량집계"/>
      <sheetName val="수량산출서"/>
      <sheetName val="COVER"/>
      <sheetName val="전기실 산출"/>
      <sheetName val="실행내역서 "/>
      <sheetName val="옥외"/>
      <sheetName val="사업관리"/>
      <sheetName val="작성방법"/>
      <sheetName val="가열로SW"/>
      <sheetName val="노임단가"/>
      <sheetName val="1.2.용역비"/>
      <sheetName val="일위대가(가설)"/>
      <sheetName val="상세내역총괄"/>
      <sheetName val="설비별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IO수량"/>
      <sheetName val="공사설계금액산출근거"/>
      <sheetName val="노무비근거"/>
      <sheetName val="일위대가"/>
      <sheetName val="Baby일위대가"/>
      <sheetName val="cost"/>
      <sheetName val="수량입력"/>
      <sheetName val="TIE-IN"/>
      <sheetName val="CB"/>
      <sheetName val="MOB-MAN1"/>
      <sheetName val="APT"/>
      <sheetName val="자재단가"/>
      <sheetName val="전산소모"/>
      <sheetName val="48일위"/>
      <sheetName val="48수량"/>
      <sheetName val="22수량"/>
      <sheetName val="49일위"/>
      <sheetName val="22일위"/>
      <sheetName val="부하(성남)"/>
      <sheetName val="SAN"/>
      <sheetName val="DHEQSUPT"/>
      <sheetName val="견적서"/>
      <sheetName val="수량조서"/>
      <sheetName val="코드표"/>
      <sheetName val="코드목록"/>
      <sheetName val="음성cable"/>
      <sheetName val="수입"/>
      <sheetName val="TABLE"/>
      <sheetName val="편성절차"/>
      <sheetName val="환율-LIBOR"/>
      <sheetName val="SENSOR LIST"/>
      <sheetName val="상각율"/>
      <sheetName val="산근"/>
      <sheetName val="적용"/>
      <sheetName val="LOAD"/>
      <sheetName val="A LINE"/>
      <sheetName val="A"/>
      <sheetName val="부표총괄"/>
      <sheetName val="차액보증"/>
      <sheetName val="SUPTMTO"/>
      <sheetName val="내역서"/>
      <sheetName val="s"/>
      <sheetName val="DATE"/>
      <sheetName val="예총"/>
      <sheetName val="3후판"/>
      <sheetName val="당초"/>
      <sheetName val="유첨3.적용기준"/>
      <sheetName val="REHEATING FURNACE"/>
      <sheetName val="A7"/>
      <sheetName val="미계약2"/>
      <sheetName val="방화도료산출근거"/>
      <sheetName val="단가"/>
      <sheetName val="DATA-UPS"/>
      <sheetName val="DATA"/>
      <sheetName val="노임이"/>
      <sheetName val="마감집계(창고)"/>
      <sheetName val="도장면적"/>
      <sheetName val="마감산근(창고)"/>
      <sheetName val="건축공사실행"/>
      <sheetName val="가도공"/>
      <sheetName val="Ditch(open)"/>
      <sheetName val="WIND"/>
      <sheetName val="일반공사"/>
      <sheetName val="ORIGN"/>
      <sheetName val="100.01"/>
      <sheetName val="내역"/>
      <sheetName val="전기"/>
      <sheetName val="적용기준"/>
      <sheetName val="N賃率-職"/>
      <sheetName val="2선재"/>
      <sheetName val="기계내역서"/>
      <sheetName val="MUK-List"/>
      <sheetName val="단가표(2015.02.03)"/>
      <sheetName val="기본"/>
      <sheetName val="신대방33(적용)"/>
      <sheetName val="음성(cable)"/>
      <sheetName val="최초 bpm"/>
      <sheetName val="찍기"/>
      <sheetName val="H4-발주"/>
      <sheetName val="98NS-N"/>
      <sheetName val="수토공단위당"/>
      <sheetName val="공내역"/>
      <sheetName val="5_소재"/>
      <sheetName val="BEND_LOSS"/>
      <sheetName val="내역서_"/>
      <sheetName val="4-3_보온_기본물량집계"/>
      <sheetName val="단가구성_(2)"/>
      <sheetName val="실행내역서_"/>
      <sheetName val="1_2_용역비"/>
      <sheetName val="WEIGHT_LIST"/>
      <sheetName val="산#2-1_(2)"/>
      <sheetName val="전기실_산출"/>
      <sheetName val="SENSOR_LIST"/>
      <sheetName val="A_LINE"/>
      <sheetName val="REHEATING_FURNACE"/>
      <sheetName val="증감내역서"/>
      <sheetName val="차체부품 INS REPORT(갑)"/>
      <sheetName val="10.25"/>
      <sheetName val="도급양식"/>
      <sheetName val="2.설계제원"/>
      <sheetName val="U.C."/>
      <sheetName val="DEVI."/>
      <sheetName val="시간별적산"/>
      <sheetName val="본문"/>
      <sheetName val="감독1130"/>
      <sheetName val="몰탈콘크리트"/>
      <sheetName val="COL"/>
      <sheetName val="사업부배부A"/>
      <sheetName val="PSCbeam설계"/>
      <sheetName val="전선로도"/>
      <sheetName val="CABLE SCH"/>
      <sheetName val="기성고"/>
      <sheetName val="실행예산SHEET도장재검토"/>
      <sheetName val="정산서 "/>
      <sheetName val="직노"/>
      <sheetName val="수목데이타 "/>
      <sheetName val="영업소실적"/>
      <sheetName val="공사비_NDE"/>
      <sheetName val="토목"/>
      <sheetName val="소일위대가코드표"/>
      <sheetName val="대비"/>
      <sheetName val="RENUN"/>
      <sheetName val="2."/>
      <sheetName val="도급"/>
      <sheetName val="CODE"/>
      <sheetName val="도기류"/>
      <sheetName val="견적내역서"/>
      <sheetName val="전기공사일위대가"/>
      <sheetName val="VXXXXXXXXXXXXXXXXXXXXXXXX"/>
      <sheetName val="OPT"/>
      <sheetName val="SV"/>
      <sheetName val="부대공"/>
      <sheetName val="토공"/>
      <sheetName val="포장공"/>
      <sheetName val="금액내역서"/>
      <sheetName val="은행"/>
      <sheetName val="예제"/>
      <sheetName val="공종단가"/>
      <sheetName val="아주기계"/>
      <sheetName val="인천제철"/>
      <sheetName val="6.INTER CONNECTING"/>
      <sheetName val="금액결정"/>
      <sheetName val="일위대가(건축)"/>
      <sheetName val="CABLE BULK"/>
      <sheetName val="kich thuoc"/>
      <sheetName val="DTHH"/>
      <sheetName val="터널조도"/>
      <sheetName val="노무비"/>
      <sheetName val="공급집계 (현대-우림)"/>
      <sheetName val="철거산출근거"/>
      <sheetName val="현장관리비"/>
      <sheetName val="PILOT품"/>
      <sheetName val="M96현황-동아"/>
      <sheetName val="8.INTER CONNECTING"/>
      <sheetName val="BQMPALOC"/>
      <sheetName val="자바라1"/>
      <sheetName val="TOTAL"/>
      <sheetName val="산출근거 (2)"/>
      <sheetName val="집계표 (2)"/>
      <sheetName val="Factor"/>
      <sheetName val="M-EQPT-Z"/>
      <sheetName val="Man Power"/>
      <sheetName val="공정별계획(생산,발송)"/>
      <sheetName val="POWER"/>
      <sheetName val="IT-BAT"/>
      <sheetName val="기기보온"/>
      <sheetName val="12CGOU"/>
      <sheetName val="기기리스트"/>
      <sheetName val="EQT-ESTN"/>
      <sheetName val="inter"/>
      <sheetName val="sheet1 (2)"/>
      <sheetName val="별표집계"/>
      <sheetName val="ETC"/>
      <sheetName val="단위중량표"/>
      <sheetName val="Sheet9"/>
      <sheetName val="스케즐"/>
      <sheetName val="입찰안"/>
      <sheetName val="수량산출"/>
      <sheetName val="도면자료제출일정"/>
      <sheetName val="공사내역"/>
      <sheetName val="3층LOAD"/>
      <sheetName val="1층LOAD"/>
      <sheetName val="총괄집계 (현대-거평분)"/>
      <sheetName val="공급기지(토목)"/>
      <sheetName val="bid"/>
      <sheetName val="단가산출"/>
      <sheetName val="8.수량산출 (2)"/>
      <sheetName val="토목수량(공정)"/>
      <sheetName val="대림경상68억"/>
      <sheetName val="일위대가(1)"/>
      <sheetName val="용선 C.L"/>
      <sheetName val="총괄표(설치)"/>
      <sheetName val="표지"/>
      <sheetName val="노무비단가"/>
      <sheetName val="EQUIPMENT -2"/>
      <sheetName val="FAB별"/>
      <sheetName val="95삼성급(본사)"/>
      <sheetName val="갑지"/>
      <sheetName val="기계"/>
      <sheetName val="원가서"/>
      <sheetName val="시운전연료"/>
      <sheetName val="인상효1"/>
      <sheetName val="2.대외공문"/>
      <sheetName val="콘크리트타설집계표"/>
      <sheetName val="인건-측정"/>
      <sheetName val="갑지(추정)"/>
      <sheetName val="표지 (2)"/>
      <sheetName val="과장"/>
      <sheetName val="을지"/>
      <sheetName val="기계공사"/>
      <sheetName val="공사비"/>
      <sheetName val="Sheet6"/>
      <sheetName val="PSVLIST"/>
      <sheetName val="36신설수량"/>
      <sheetName val="sum"/>
      <sheetName val="5_소재1"/>
      <sheetName val="BEND_LOSS1"/>
      <sheetName val="내역서_1"/>
      <sheetName val="4-3_보온_기본물량집계1"/>
      <sheetName val="단가구성_(2)1"/>
      <sheetName val="실행내역서_1"/>
      <sheetName val="1_2_용역비1"/>
      <sheetName val="WEIGHT_LIST1"/>
      <sheetName val="산#2-1_(2)1"/>
      <sheetName val="전기실_산출1"/>
      <sheetName val="SENSOR_LIST1"/>
      <sheetName val="A_LINE1"/>
      <sheetName val="유첨3_적용기준"/>
      <sheetName val="REHEATING_FURNACE1"/>
      <sheetName val="100_01"/>
      <sheetName val="단가표(2015_02_03)"/>
      <sheetName val="최초_bpm"/>
      <sheetName val="차체부품_INS_REPORT(갑)"/>
      <sheetName val="10_25"/>
      <sheetName val="2_설계제원"/>
      <sheetName val="U_C_"/>
      <sheetName val="DEVI_"/>
      <sheetName val="CABLE_SCH"/>
      <sheetName val="정산서_"/>
      <sheetName val="수목데이타_"/>
      <sheetName val="2_"/>
      <sheetName val="6_INTER_CONNECTING"/>
      <sheetName val="CABLE_BULK"/>
      <sheetName val="kich_thuoc"/>
      <sheetName val="공급집계_(현대-우림)"/>
      <sheetName val="8_INTER_CONNECTING"/>
      <sheetName val="산출근거_(2)"/>
      <sheetName val="집계표_(2)"/>
      <sheetName val="Man_Power"/>
      <sheetName val="sheet1_(2)"/>
      <sheetName val="품셈_"/>
      <sheetName val="총괄집계_(현대-거평분)"/>
      <sheetName val="용선_C_L"/>
      <sheetName val="8_수량산출_(2)"/>
      <sheetName val="EQUIPMENT_-2"/>
      <sheetName val="2_대외공문"/>
      <sheetName val="표지_(2)"/>
      <sheetName val="CC16-내역서"/>
      <sheetName val="총괄"/>
      <sheetName val="일위대가표"/>
      <sheetName val="土建组价20201218"/>
      <sheetName val="有效性"/>
      <sheetName val="价格体系"/>
      <sheetName val="PopCache"/>
      <sheetName val="参数表"/>
      <sheetName val="汇总"/>
      <sheetName val="表一2×100MW"/>
      <sheetName val="C-L-SM-EA-D-002"/>
      <sheetName val="dwcb(碳钢)"/>
      <sheetName val="土"/>
      <sheetName val="EVAL"/>
      <sheetName val="HYDROTEST DIAGRAM"/>
      <sheetName val="Instruments_List"/>
      <sheetName val="土建"/>
      <sheetName val="数据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outlinePr summaryBelow="0"/>
  </sheetPr>
  <dimension ref="A1:G398"/>
  <sheetViews>
    <sheetView zoomScale="176" zoomScaleNormal="176" workbookViewId="0">
      <pane xSplit="4" ySplit="3" topLeftCell="E62" activePane="bottomRight" state="frozen"/>
      <selection/>
      <selection pane="topRight"/>
      <selection pane="bottomLeft"/>
      <selection pane="bottomRight" activeCell="A1" sqref="$A1:$XFD1"/>
    </sheetView>
  </sheetViews>
  <sheetFormatPr defaultColWidth="8.8" defaultRowHeight="20" customHeight="1" outlineLevelCol="6"/>
  <cols>
    <col min="1" max="1" width="11.4" style="60" customWidth="1"/>
    <col min="2" max="3" width="6.6" style="60" customWidth="1"/>
    <col min="4" max="4" width="21.8" style="2" customWidth="1"/>
    <col min="5" max="5" width="42.2" style="2" customWidth="1"/>
    <col min="6" max="6" width="5.8" style="2" customWidth="1"/>
    <col min="7" max="7" width="10.4" style="2" customWidth="1"/>
    <col min="8" max="9" width="8.8" style="2"/>
    <col min="10" max="10" width="34" style="2" customWidth="1"/>
    <col min="11" max="16384" width="8.8" style="2"/>
  </cols>
  <sheetData>
    <row r="1" customHeight="1" spans="1:7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Height="1" spans="1:7">
      <c r="A2" s="3"/>
      <c r="B2" s="5"/>
      <c r="C2" s="5"/>
      <c r="D2" s="3"/>
      <c r="E2" s="3"/>
      <c r="F2" s="3"/>
      <c r="G2" s="3"/>
    </row>
    <row r="3" customHeight="1" spans="1:7">
      <c r="A3" s="3"/>
      <c r="B3" s="5"/>
      <c r="C3" s="5"/>
      <c r="D3" s="3"/>
      <c r="E3" s="3"/>
      <c r="F3" s="3"/>
      <c r="G3" s="3"/>
    </row>
    <row r="4" s="72" customFormat="1" customHeight="1" spans="1:7">
      <c r="A4" s="6" t="s">
        <v>7</v>
      </c>
      <c r="B4" s="6"/>
      <c r="C4" s="6"/>
      <c r="D4" s="7" t="s">
        <v>8</v>
      </c>
      <c r="E4" s="10"/>
      <c r="F4" s="11"/>
      <c r="G4" s="76"/>
    </row>
    <row r="5" s="72" customFormat="1" customHeight="1" spans="1:7">
      <c r="A5" s="3">
        <v>1</v>
      </c>
      <c r="B5" s="3">
        <v>2125</v>
      </c>
      <c r="C5" s="82" t="s">
        <v>9</v>
      </c>
      <c r="D5" s="10" t="s">
        <v>10</v>
      </c>
      <c r="E5" s="10" t="s">
        <v>11</v>
      </c>
      <c r="F5" s="11" t="s">
        <v>12</v>
      </c>
      <c r="G5" s="77">
        <v>6</v>
      </c>
    </row>
    <row r="6" s="72" customFormat="1" customHeight="1" spans="1:7">
      <c r="A6" s="3">
        <v>2</v>
      </c>
      <c r="B6" s="3">
        <v>2125</v>
      </c>
      <c r="C6" s="82" t="s">
        <v>9</v>
      </c>
      <c r="D6" s="10" t="s">
        <v>13</v>
      </c>
      <c r="E6" s="10" t="s">
        <v>14</v>
      </c>
      <c r="F6" s="11" t="s">
        <v>15</v>
      </c>
      <c r="G6" s="77">
        <v>1</v>
      </c>
    </row>
    <row r="7" s="72" customFormat="1" customHeight="1" spans="1:7">
      <c r="A7" s="3">
        <v>3</v>
      </c>
      <c r="B7" s="3">
        <v>2125</v>
      </c>
      <c r="C7" s="82" t="s">
        <v>9</v>
      </c>
      <c r="D7" s="10" t="s">
        <v>16</v>
      </c>
      <c r="E7" s="10" t="s">
        <v>14</v>
      </c>
      <c r="F7" s="11" t="s">
        <v>15</v>
      </c>
      <c r="G7" s="77">
        <v>1</v>
      </c>
    </row>
    <row r="8" s="72" customFormat="1" customHeight="1" spans="1:7">
      <c r="A8" s="3"/>
      <c r="B8" s="3">
        <v>2125</v>
      </c>
      <c r="C8" s="82" t="s">
        <v>9</v>
      </c>
      <c r="D8" s="10" t="s">
        <v>17</v>
      </c>
      <c r="E8" s="10" t="s">
        <v>14</v>
      </c>
      <c r="F8" s="11" t="s">
        <v>15</v>
      </c>
      <c r="G8" s="77">
        <v>1</v>
      </c>
    </row>
    <row r="9" s="72" customFormat="1" customHeight="1" spans="1:7">
      <c r="A9" s="3"/>
      <c r="B9" s="3">
        <v>2125</v>
      </c>
      <c r="C9" s="82" t="s">
        <v>9</v>
      </c>
      <c r="D9" s="10" t="s">
        <v>18</v>
      </c>
      <c r="E9" s="10" t="s">
        <v>14</v>
      </c>
      <c r="F9" s="11" t="s">
        <v>15</v>
      </c>
      <c r="G9" s="77">
        <v>1</v>
      </c>
    </row>
    <row r="10" s="72" customFormat="1" ht="27" customHeight="1" spans="1:7">
      <c r="A10" s="3">
        <v>4</v>
      </c>
      <c r="B10" s="3">
        <v>2125</v>
      </c>
      <c r="C10" s="82" t="s">
        <v>9</v>
      </c>
      <c r="D10" s="10" t="s">
        <v>19</v>
      </c>
      <c r="E10" s="10" t="s">
        <v>20</v>
      </c>
      <c r="F10" s="11" t="s">
        <v>21</v>
      </c>
      <c r="G10" s="77">
        <v>1</v>
      </c>
    </row>
    <row r="11" s="72" customFormat="1" customHeight="1" spans="1:7">
      <c r="A11" s="3">
        <v>5</v>
      </c>
      <c r="B11" s="3">
        <v>2125</v>
      </c>
      <c r="C11" s="82" t="s">
        <v>9</v>
      </c>
      <c r="D11" s="10" t="s">
        <v>22</v>
      </c>
      <c r="E11" s="10"/>
      <c r="F11" s="11" t="s">
        <v>23</v>
      </c>
      <c r="G11" s="77">
        <v>1</v>
      </c>
    </row>
    <row r="12" s="72" customFormat="1" customHeight="1" spans="1:7">
      <c r="A12" s="3">
        <v>6</v>
      </c>
      <c r="B12" s="3">
        <v>2125</v>
      </c>
      <c r="C12" s="82" t="s">
        <v>9</v>
      </c>
      <c r="D12" s="10" t="s">
        <v>24</v>
      </c>
      <c r="E12" s="10" t="s">
        <v>25</v>
      </c>
      <c r="F12" s="11" t="s">
        <v>26</v>
      </c>
      <c r="G12" s="77">
        <v>1</v>
      </c>
    </row>
    <row r="13" s="72" customFormat="1" ht="29" customHeight="1" spans="1:7">
      <c r="A13" s="3">
        <v>7</v>
      </c>
      <c r="B13" s="3">
        <v>2125</v>
      </c>
      <c r="C13" s="3"/>
      <c r="D13" s="10" t="s">
        <v>27</v>
      </c>
      <c r="E13" s="10" t="s">
        <v>28</v>
      </c>
      <c r="F13" s="11" t="s">
        <v>12</v>
      </c>
      <c r="G13" s="77">
        <v>3</v>
      </c>
    </row>
    <row r="14" s="72" customFormat="1" ht="27" customHeight="1" spans="1:7">
      <c r="A14" s="3">
        <v>8</v>
      </c>
      <c r="B14" s="3">
        <v>2125</v>
      </c>
      <c r="C14" s="3"/>
      <c r="D14" s="10" t="s">
        <v>29</v>
      </c>
      <c r="E14" s="10" t="s">
        <v>30</v>
      </c>
      <c r="F14" s="11" t="s">
        <v>12</v>
      </c>
      <c r="G14" s="11">
        <v>3</v>
      </c>
    </row>
    <row r="15" s="72" customFormat="1" customHeight="1" spans="1:7">
      <c r="A15" s="3"/>
      <c r="B15" s="3">
        <v>2125</v>
      </c>
      <c r="C15" s="3"/>
      <c r="D15" s="10" t="s">
        <v>31</v>
      </c>
      <c r="E15" s="10" t="s">
        <v>32</v>
      </c>
      <c r="F15" s="11" t="s">
        <v>12</v>
      </c>
      <c r="G15" s="11">
        <v>1</v>
      </c>
    </row>
    <row r="16" s="72" customFormat="1" customHeight="1" spans="1:7">
      <c r="A16" s="3"/>
      <c r="B16" s="3">
        <v>2125</v>
      </c>
      <c r="C16" s="3"/>
      <c r="D16" s="10" t="s">
        <v>27</v>
      </c>
      <c r="E16" s="10" t="s">
        <v>33</v>
      </c>
      <c r="F16" s="11" t="s">
        <v>12</v>
      </c>
      <c r="G16" s="11">
        <v>1</v>
      </c>
    </row>
    <row r="17" s="72" customFormat="1" customHeight="1" spans="1:7">
      <c r="A17" s="3"/>
      <c r="B17" s="3"/>
      <c r="C17" s="3"/>
      <c r="D17" s="10"/>
      <c r="E17" s="10"/>
      <c r="F17" s="11"/>
      <c r="G17" s="11"/>
    </row>
    <row r="18" s="72" customFormat="1" customHeight="1" spans="1:7">
      <c r="A18" s="12"/>
      <c r="B18" s="12"/>
      <c r="C18" s="12"/>
      <c r="D18" s="13" t="s">
        <v>34</v>
      </c>
      <c r="E18" s="13"/>
      <c r="F18" s="14"/>
      <c r="G18" s="14"/>
    </row>
    <row r="19" s="72" customFormat="1" customHeight="1" spans="1:7">
      <c r="A19" s="3"/>
      <c r="B19" s="3"/>
      <c r="C19" s="3"/>
      <c r="D19" s="10"/>
      <c r="E19" s="10"/>
      <c r="F19" s="11"/>
      <c r="G19" s="11"/>
    </row>
    <row r="20" s="72" customFormat="1" customHeight="1" spans="1:7">
      <c r="A20" s="83" t="s">
        <v>35</v>
      </c>
      <c r="B20" s="3">
        <v>2125</v>
      </c>
      <c r="C20" s="6"/>
      <c r="D20" s="7" t="s">
        <v>36</v>
      </c>
      <c r="E20" s="10"/>
      <c r="F20" s="11"/>
      <c r="G20" s="11"/>
    </row>
    <row r="21" s="72" customFormat="1" customHeight="1" spans="1:7">
      <c r="A21" s="3">
        <v>1</v>
      </c>
      <c r="B21" s="3">
        <v>2125</v>
      </c>
      <c r="C21" s="82" t="s">
        <v>9</v>
      </c>
      <c r="D21" s="10" t="s">
        <v>37</v>
      </c>
      <c r="E21" s="10" t="s">
        <v>11</v>
      </c>
      <c r="F21" s="11" t="s">
        <v>12</v>
      </c>
      <c r="G21" s="11">
        <v>8</v>
      </c>
    </row>
    <row r="22" s="72" customFormat="1" customHeight="1" spans="1:7">
      <c r="A22" s="3">
        <v>2</v>
      </c>
      <c r="B22" s="3">
        <v>2125</v>
      </c>
      <c r="C22" s="82" t="s">
        <v>9</v>
      </c>
      <c r="D22" s="10" t="s">
        <v>38</v>
      </c>
      <c r="E22" s="10" t="s">
        <v>39</v>
      </c>
      <c r="F22" s="11" t="s">
        <v>15</v>
      </c>
      <c r="G22" s="11">
        <v>1</v>
      </c>
    </row>
    <row r="23" s="72" customFormat="1" customHeight="1" spans="1:7">
      <c r="A23" s="3">
        <v>3</v>
      </c>
      <c r="B23" s="3">
        <v>2125</v>
      </c>
      <c r="C23" s="82" t="s">
        <v>9</v>
      </c>
      <c r="D23" s="10" t="s">
        <v>40</v>
      </c>
      <c r="E23" s="10" t="s">
        <v>14</v>
      </c>
      <c r="F23" s="11" t="s">
        <v>15</v>
      </c>
      <c r="G23" s="11">
        <v>1</v>
      </c>
    </row>
    <row r="24" s="72" customFormat="1" customHeight="1" spans="1:7">
      <c r="A24" s="3">
        <v>4</v>
      </c>
      <c r="B24" s="3">
        <v>2125</v>
      </c>
      <c r="C24" s="82" t="s">
        <v>9</v>
      </c>
      <c r="D24" s="10" t="s">
        <v>41</v>
      </c>
      <c r="E24" s="10" t="s">
        <v>14</v>
      </c>
      <c r="F24" s="11" t="s">
        <v>15</v>
      </c>
      <c r="G24" s="11">
        <v>1</v>
      </c>
    </row>
    <row r="25" s="72" customFormat="1" customHeight="1" spans="1:7">
      <c r="A25" s="3">
        <v>5</v>
      </c>
      <c r="B25" s="3">
        <v>2125</v>
      </c>
      <c r="C25" s="82" t="s">
        <v>9</v>
      </c>
      <c r="D25" s="10" t="s">
        <v>42</v>
      </c>
      <c r="E25" s="10" t="s">
        <v>14</v>
      </c>
      <c r="F25" s="11" t="s">
        <v>15</v>
      </c>
      <c r="G25" s="11">
        <v>1</v>
      </c>
    </row>
    <row r="26" s="72" customFormat="1" customHeight="1" spans="1:7">
      <c r="A26" s="3">
        <v>6</v>
      </c>
      <c r="B26" s="3">
        <v>2125</v>
      </c>
      <c r="C26" s="82" t="s">
        <v>9</v>
      </c>
      <c r="D26" s="10" t="s">
        <v>43</v>
      </c>
      <c r="E26" s="10" t="s">
        <v>14</v>
      </c>
      <c r="F26" s="11" t="s">
        <v>15</v>
      </c>
      <c r="G26" s="11">
        <v>1</v>
      </c>
    </row>
    <row r="27" s="72" customFormat="1" customHeight="1" spans="1:7">
      <c r="A27" s="3"/>
      <c r="B27" s="3">
        <v>2125</v>
      </c>
      <c r="C27" s="82" t="s">
        <v>9</v>
      </c>
      <c r="D27" s="10" t="s">
        <v>44</v>
      </c>
      <c r="E27" s="10" t="s">
        <v>14</v>
      </c>
      <c r="F27" s="11" t="s">
        <v>15</v>
      </c>
      <c r="G27" s="11">
        <v>1</v>
      </c>
    </row>
    <row r="28" s="72" customFormat="1" customHeight="1" spans="1:7">
      <c r="A28" s="3"/>
      <c r="B28" s="3">
        <v>2125</v>
      </c>
      <c r="C28" s="82" t="s">
        <v>9</v>
      </c>
      <c r="D28" s="10" t="s">
        <v>45</v>
      </c>
      <c r="E28" s="10" t="s">
        <v>14</v>
      </c>
      <c r="F28" s="11" t="s">
        <v>15</v>
      </c>
      <c r="G28" s="11">
        <v>1</v>
      </c>
    </row>
    <row r="29" s="72" customFormat="1" customHeight="1" spans="1:7">
      <c r="A29" s="3">
        <v>7</v>
      </c>
      <c r="B29" s="3">
        <v>2125</v>
      </c>
      <c r="C29" s="82" t="s">
        <v>9</v>
      </c>
      <c r="D29" s="10" t="s">
        <v>46</v>
      </c>
      <c r="E29" s="10" t="s">
        <v>47</v>
      </c>
      <c r="F29" s="11" t="s">
        <v>21</v>
      </c>
      <c r="G29" s="11">
        <v>1</v>
      </c>
    </row>
    <row r="30" s="72" customFormat="1" customHeight="1" spans="1:7">
      <c r="A30" s="3">
        <v>8</v>
      </c>
      <c r="B30" s="3">
        <v>2125</v>
      </c>
      <c r="C30" s="82" t="s">
        <v>9</v>
      </c>
      <c r="D30" s="10" t="s">
        <v>48</v>
      </c>
      <c r="E30" s="10" t="s">
        <v>49</v>
      </c>
      <c r="F30" s="11" t="s">
        <v>21</v>
      </c>
      <c r="G30" s="11">
        <v>1</v>
      </c>
    </row>
    <row r="31" s="72" customFormat="1" customHeight="1" spans="1:7">
      <c r="A31" s="3"/>
      <c r="B31" s="3">
        <v>2125</v>
      </c>
      <c r="C31" s="82" t="s">
        <v>9</v>
      </c>
      <c r="D31" s="10" t="s">
        <v>50</v>
      </c>
      <c r="E31" s="10" t="s">
        <v>51</v>
      </c>
      <c r="F31" s="11" t="s">
        <v>21</v>
      </c>
      <c r="G31" s="11">
        <v>1</v>
      </c>
    </row>
    <row r="32" s="72" customFormat="1" customHeight="1" spans="1:7">
      <c r="A32" s="3"/>
      <c r="B32" s="3">
        <v>2125</v>
      </c>
      <c r="C32" s="82" t="s">
        <v>9</v>
      </c>
      <c r="D32" s="10" t="s">
        <v>52</v>
      </c>
      <c r="E32" s="10"/>
      <c r="F32" s="11" t="s">
        <v>23</v>
      </c>
      <c r="G32" s="11">
        <v>1</v>
      </c>
    </row>
    <row r="33" s="72" customFormat="1" customHeight="1" spans="1:7">
      <c r="A33" s="3">
        <v>9</v>
      </c>
      <c r="B33" s="3">
        <v>2125</v>
      </c>
      <c r="C33" s="82" t="s">
        <v>9</v>
      </c>
      <c r="D33" s="10" t="s">
        <v>22</v>
      </c>
      <c r="E33" s="10"/>
      <c r="F33" s="11" t="s">
        <v>23</v>
      </c>
      <c r="G33" s="11">
        <v>2</v>
      </c>
    </row>
    <row r="34" s="72" customFormat="1" customHeight="1" spans="1:7">
      <c r="A34" s="3">
        <v>10</v>
      </c>
      <c r="B34" s="3">
        <v>2125</v>
      </c>
      <c r="C34" s="82" t="s">
        <v>9</v>
      </c>
      <c r="D34" s="10" t="s">
        <v>53</v>
      </c>
      <c r="E34" s="10"/>
      <c r="F34" s="11" t="s">
        <v>26</v>
      </c>
      <c r="G34" s="11">
        <v>1</v>
      </c>
    </row>
    <row r="35" s="72" customFormat="1" customHeight="1" spans="1:7">
      <c r="A35" s="3"/>
      <c r="B35" s="3"/>
      <c r="C35" s="3"/>
      <c r="D35" s="10"/>
      <c r="E35" s="10"/>
      <c r="F35" s="11"/>
      <c r="G35" s="11"/>
    </row>
    <row r="36" s="72" customFormat="1" customHeight="1" spans="1:7">
      <c r="A36" s="12"/>
      <c r="B36" s="12"/>
      <c r="C36" s="12"/>
      <c r="D36" s="13" t="s">
        <v>34</v>
      </c>
      <c r="E36" s="13"/>
      <c r="F36" s="14"/>
      <c r="G36" s="14"/>
    </row>
    <row r="37" s="72" customFormat="1" customHeight="1" spans="1:7">
      <c r="A37" s="3"/>
      <c r="B37" s="3"/>
      <c r="C37" s="3"/>
      <c r="D37" s="10"/>
      <c r="E37" s="10"/>
      <c r="F37" s="11"/>
      <c r="G37" s="11"/>
    </row>
    <row r="38" s="72" customFormat="1" customHeight="1" spans="1:7">
      <c r="A38" s="83" t="s">
        <v>54</v>
      </c>
      <c r="B38" s="6"/>
      <c r="C38" s="6"/>
      <c r="D38" s="7" t="s">
        <v>55</v>
      </c>
      <c r="E38" s="10"/>
      <c r="F38" s="11"/>
      <c r="G38" s="11"/>
    </row>
    <row r="39" s="72" customFormat="1" customHeight="1" spans="1:7">
      <c r="A39" s="3">
        <v>1</v>
      </c>
      <c r="B39" s="3"/>
      <c r="C39" s="82" t="s">
        <v>9</v>
      </c>
      <c r="D39" s="10" t="s">
        <v>56</v>
      </c>
      <c r="E39" s="10" t="s">
        <v>57</v>
      </c>
      <c r="F39" s="11" t="s">
        <v>12</v>
      </c>
      <c r="G39" s="11">
        <v>1</v>
      </c>
    </row>
    <row r="40" s="72" customFormat="1" customHeight="1" spans="1:7">
      <c r="A40" s="3"/>
      <c r="B40" s="3"/>
      <c r="C40" s="3"/>
      <c r="D40" s="10"/>
      <c r="E40" s="10"/>
      <c r="F40" s="11"/>
      <c r="G40" s="11"/>
    </row>
    <row r="41" s="72" customFormat="1" customHeight="1" spans="1:7">
      <c r="A41" s="12"/>
      <c r="B41" s="12"/>
      <c r="C41" s="12"/>
      <c r="D41" s="13" t="s">
        <v>34</v>
      </c>
      <c r="E41" s="13"/>
      <c r="F41" s="14"/>
      <c r="G41" s="14"/>
    </row>
    <row r="42" s="72" customFormat="1" customHeight="1" spans="1:7">
      <c r="A42" s="3"/>
      <c r="B42" s="3"/>
      <c r="C42" s="3"/>
      <c r="D42" s="7" t="s">
        <v>58</v>
      </c>
      <c r="E42" s="10"/>
      <c r="F42" s="11"/>
      <c r="G42" s="11"/>
    </row>
    <row r="43" s="72" customFormat="1" ht="44" customHeight="1" spans="1:7">
      <c r="A43" s="3"/>
      <c r="B43" s="3"/>
      <c r="C43" s="82" t="s">
        <v>9</v>
      </c>
      <c r="D43" s="10" t="s">
        <v>59</v>
      </c>
      <c r="E43" s="10" t="s">
        <v>60</v>
      </c>
      <c r="F43" s="11" t="s">
        <v>26</v>
      </c>
      <c r="G43" s="11">
        <v>3</v>
      </c>
    </row>
    <row r="44" s="72" customFormat="1" customHeight="1" spans="1:7">
      <c r="A44" s="78"/>
      <c r="B44" s="78"/>
      <c r="C44" s="78"/>
      <c r="D44" s="10"/>
      <c r="E44" s="10"/>
      <c r="F44" s="11"/>
      <c r="G44" s="11"/>
    </row>
    <row r="45" s="72" customFormat="1" customHeight="1" spans="1:7">
      <c r="A45" s="12"/>
      <c r="B45" s="12"/>
      <c r="C45" s="12"/>
      <c r="D45" s="13" t="s">
        <v>34</v>
      </c>
      <c r="E45" s="13"/>
      <c r="F45" s="14"/>
      <c r="G45" s="14"/>
    </row>
    <row r="46" s="72" customFormat="1" customHeight="1" spans="1:7">
      <c r="A46" s="3">
        <v>1.1</v>
      </c>
      <c r="B46" s="3"/>
      <c r="C46" s="3"/>
      <c r="D46" s="10" t="s">
        <v>61</v>
      </c>
      <c r="E46" s="10"/>
      <c r="F46" s="11"/>
      <c r="G46" s="11"/>
    </row>
    <row r="47" s="72" customFormat="1" customHeight="1" spans="1:7">
      <c r="A47" s="3" t="s">
        <v>62</v>
      </c>
      <c r="B47" s="3"/>
      <c r="C47" s="82" t="s">
        <v>9</v>
      </c>
      <c r="D47" s="10" t="s">
        <v>63</v>
      </c>
      <c r="E47" s="10" t="s">
        <v>64</v>
      </c>
      <c r="F47" s="11" t="s">
        <v>26</v>
      </c>
      <c r="G47" s="11">
        <v>5</v>
      </c>
    </row>
    <row r="48" s="72" customFormat="1" ht="61" customHeight="1" spans="1:7">
      <c r="A48" s="3" t="s">
        <v>65</v>
      </c>
      <c r="B48" s="3"/>
      <c r="C48" s="82" t="s">
        <v>9</v>
      </c>
      <c r="D48" s="10" t="s">
        <v>66</v>
      </c>
      <c r="E48" s="10"/>
      <c r="F48" s="11" t="s">
        <v>21</v>
      </c>
      <c r="G48" s="11">
        <v>2</v>
      </c>
    </row>
    <row r="49" s="72" customFormat="1" customHeight="1" spans="1:7">
      <c r="A49" s="78"/>
      <c r="B49" s="78"/>
      <c r="C49" s="82" t="s">
        <v>67</v>
      </c>
      <c r="D49" s="10" t="s">
        <v>68</v>
      </c>
      <c r="E49" s="10"/>
      <c r="F49" s="11" t="s">
        <v>23</v>
      </c>
      <c r="G49" s="11">
        <v>3</v>
      </c>
    </row>
    <row r="50" s="72" customFormat="1" customHeight="1" spans="1:7">
      <c r="A50" s="78"/>
      <c r="B50" s="78"/>
      <c r="C50" s="78"/>
      <c r="D50" s="10"/>
      <c r="E50" s="10"/>
      <c r="F50" s="11"/>
      <c r="G50" s="11"/>
    </row>
    <row r="51" s="72" customFormat="1" customHeight="1" spans="1:7">
      <c r="A51" s="12"/>
      <c r="B51" s="12"/>
      <c r="C51" s="12"/>
      <c r="D51" s="13" t="s">
        <v>34</v>
      </c>
      <c r="E51" s="13"/>
      <c r="F51" s="14"/>
      <c r="G51" s="14"/>
    </row>
    <row r="52" s="72" customFormat="1" customHeight="1" spans="1:7">
      <c r="A52" s="78">
        <v>1.2</v>
      </c>
      <c r="B52" s="78"/>
      <c r="C52" s="78"/>
      <c r="D52" s="10" t="s">
        <v>69</v>
      </c>
      <c r="E52" s="10"/>
      <c r="F52" s="11"/>
      <c r="G52" s="11"/>
    </row>
    <row r="53" s="72" customFormat="1" ht="145" customHeight="1" spans="1:7">
      <c r="A53" s="3" t="s">
        <v>70</v>
      </c>
      <c r="B53" s="3"/>
      <c r="C53" s="82" t="s">
        <v>9</v>
      </c>
      <c r="D53" s="10" t="s">
        <v>71</v>
      </c>
      <c r="E53" s="10" t="s">
        <v>72</v>
      </c>
      <c r="F53" s="11" t="s">
        <v>12</v>
      </c>
      <c r="G53" s="11">
        <v>1</v>
      </c>
    </row>
    <row r="54" s="72" customFormat="1" ht="95" customHeight="1" spans="1:7">
      <c r="A54" s="79" t="s">
        <v>73</v>
      </c>
      <c r="B54" s="79"/>
      <c r="C54" s="82" t="s">
        <v>9</v>
      </c>
      <c r="D54" s="10" t="s">
        <v>74</v>
      </c>
      <c r="E54" s="10" t="s">
        <v>75</v>
      </c>
      <c r="F54" s="11" t="s">
        <v>12</v>
      </c>
      <c r="G54" s="11">
        <v>1</v>
      </c>
    </row>
    <row r="55" s="72" customFormat="1" customHeight="1" spans="1:7">
      <c r="A55" s="3" t="s">
        <v>76</v>
      </c>
      <c r="B55" s="3"/>
      <c r="C55" s="3"/>
      <c r="D55" s="10" t="s">
        <v>77</v>
      </c>
      <c r="E55" s="10"/>
      <c r="F55" s="11" t="s">
        <v>23</v>
      </c>
      <c r="G55" s="11">
        <v>2</v>
      </c>
    </row>
    <row r="56" s="72" customFormat="1" customHeight="1" spans="1:7">
      <c r="A56" s="78" t="s">
        <v>78</v>
      </c>
      <c r="B56" s="78"/>
      <c r="C56" s="78"/>
      <c r="D56" s="10" t="s">
        <v>79</v>
      </c>
      <c r="E56" s="80" t="s">
        <v>80</v>
      </c>
      <c r="F56" s="11" t="s">
        <v>26</v>
      </c>
      <c r="G56" s="11">
        <v>0</v>
      </c>
    </row>
    <row r="57" s="72" customFormat="1" customHeight="1" spans="1:7">
      <c r="A57" s="78" t="s">
        <v>81</v>
      </c>
      <c r="B57" s="78"/>
      <c r="C57" s="82" t="s">
        <v>9</v>
      </c>
      <c r="D57" s="10" t="s">
        <v>82</v>
      </c>
      <c r="E57" s="80" t="s">
        <v>83</v>
      </c>
      <c r="F57" s="11" t="s">
        <v>26</v>
      </c>
      <c r="G57" s="11">
        <v>10</v>
      </c>
    </row>
    <row r="58" s="72" customFormat="1" customHeight="1" spans="1:7">
      <c r="A58" s="78" t="s">
        <v>84</v>
      </c>
      <c r="B58" s="78"/>
      <c r="C58" s="82" t="s">
        <v>9</v>
      </c>
      <c r="D58" s="10" t="s">
        <v>85</v>
      </c>
      <c r="E58" s="81" t="s">
        <v>86</v>
      </c>
      <c r="F58" s="11" t="s">
        <v>12</v>
      </c>
      <c r="G58" s="11">
        <v>1</v>
      </c>
    </row>
    <row r="59" s="72" customFormat="1" customHeight="1" spans="1:7">
      <c r="A59" s="78" t="s">
        <v>87</v>
      </c>
      <c r="B59" s="78"/>
      <c r="C59" s="78"/>
      <c r="D59" s="10" t="s">
        <v>88</v>
      </c>
      <c r="E59" s="80" t="s">
        <v>89</v>
      </c>
      <c r="F59" s="11" t="s">
        <v>23</v>
      </c>
      <c r="G59" s="11">
        <v>1</v>
      </c>
    </row>
    <row r="60" s="72" customFormat="1" customHeight="1" spans="1:7">
      <c r="A60" s="3"/>
      <c r="B60" s="3"/>
      <c r="C60" s="3"/>
      <c r="D60" s="10" t="s">
        <v>90</v>
      </c>
      <c r="E60" s="10" t="s">
        <v>91</v>
      </c>
      <c r="F60" s="11" t="s">
        <v>23</v>
      </c>
      <c r="G60" s="11">
        <v>1</v>
      </c>
    </row>
    <row r="61" s="72" customFormat="1" customHeight="1" spans="1:7">
      <c r="A61" s="3"/>
      <c r="B61" s="3"/>
      <c r="C61" s="3"/>
      <c r="D61" s="10" t="s">
        <v>92</v>
      </c>
      <c r="E61" s="10"/>
      <c r="F61" s="11"/>
      <c r="G61" s="11"/>
    </row>
    <row r="62" s="72" customFormat="1" customHeight="1" spans="1:7">
      <c r="A62" s="3"/>
      <c r="B62" s="3"/>
      <c r="C62" s="3"/>
      <c r="D62" s="10" t="s">
        <v>93</v>
      </c>
      <c r="E62" s="10" t="s">
        <v>94</v>
      </c>
      <c r="F62" s="11" t="s">
        <v>23</v>
      </c>
      <c r="G62" s="11">
        <v>4</v>
      </c>
    </row>
    <row r="63" s="72" customFormat="1" customHeight="1" spans="1:7">
      <c r="A63" s="3"/>
      <c r="B63" s="3"/>
      <c r="C63" s="3"/>
      <c r="D63" s="10" t="s">
        <v>95</v>
      </c>
      <c r="E63" s="10" t="s">
        <v>96</v>
      </c>
      <c r="F63" s="11" t="s">
        <v>23</v>
      </c>
      <c r="G63" s="11">
        <v>2</v>
      </c>
    </row>
    <row r="64" s="72" customFormat="1" customHeight="1" spans="1:7">
      <c r="A64" s="3"/>
      <c r="B64" s="3"/>
      <c r="C64" s="3"/>
      <c r="D64" s="10" t="s">
        <v>97</v>
      </c>
      <c r="E64" s="10" t="s">
        <v>98</v>
      </c>
      <c r="F64" s="11" t="s">
        <v>23</v>
      </c>
      <c r="G64" s="11">
        <v>2</v>
      </c>
    </row>
    <row r="65" s="72" customFormat="1" customHeight="1" spans="1:7">
      <c r="A65" s="3"/>
      <c r="B65" s="3"/>
      <c r="C65" s="3"/>
      <c r="D65" s="10" t="s">
        <v>99</v>
      </c>
      <c r="E65" s="10" t="s">
        <v>100</v>
      </c>
      <c r="F65" s="11" t="s">
        <v>101</v>
      </c>
      <c r="G65" s="11">
        <v>2</v>
      </c>
    </row>
    <row r="66" s="72" customFormat="1" customHeight="1" spans="1:7">
      <c r="A66" s="3"/>
      <c r="B66" s="3"/>
      <c r="C66" s="3"/>
      <c r="D66" s="10" t="s">
        <v>102</v>
      </c>
      <c r="E66" s="10" t="s">
        <v>103</v>
      </c>
      <c r="F66" s="11" t="s">
        <v>12</v>
      </c>
      <c r="G66" s="11">
        <v>1</v>
      </c>
    </row>
    <row r="67" s="72" customFormat="1" customHeight="1" spans="1:7">
      <c r="A67" s="3" t="s">
        <v>104</v>
      </c>
      <c r="B67" s="3"/>
      <c r="C67" s="3"/>
      <c r="D67" s="10" t="s">
        <v>105</v>
      </c>
      <c r="E67" s="10"/>
      <c r="F67" s="11" t="s">
        <v>23</v>
      </c>
      <c r="G67" s="11">
        <v>1</v>
      </c>
    </row>
    <row r="68" s="72" customFormat="1" customHeight="1" spans="1:7">
      <c r="A68" s="82" t="s">
        <v>106</v>
      </c>
      <c r="B68" s="3"/>
      <c r="C68" s="3"/>
      <c r="D68" s="10" t="s">
        <v>107</v>
      </c>
      <c r="E68" s="10" t="s">
        <v>108</v>
      </c>
      <c r="F68" s="11" t="s">
        <v>23</v>
      </c>
      <c r="G68" s="11">
        <v>1</v>
      </c>
    </row>
    <row r="69" s="72" customFormat="1" customHeight="1" spans="1:7">
      <c r="A69" s="82" t="s">
        <v>109</v>
      </c>
      <c r="B69" s="3"/>
      <c r="C69" s="3"/>
      <c r="D69" s="10" t="s">
        <v>110</v>
      </c>
      <c r="E69" s="10"/>
      <c r="F69" s="11"/>
      <c r="G69" s="11"/>
    </row>
    <row r="70" s="72" customFormat="1" customHeight="1" spans="1:7">
      <c r="A70" s="82" t="s">
        <v>111</v>
      </c>
      <c r="B70" s="3"/>
      <c r="C70" s="82" t="s">
        <v>9</v>
      </c>
      <c r="D70" s="10" t="s">
        <v>112</v>
      </c>
      <c r="E70" s="10"/>
      <c r="F70" s="11" t="s">
        <v>23</v>
      </c>
      <c r="G70" s="11">
        <v>1</v>
      </c>
    </row>
    <row r="71" s="72" customFormat="1" customHeight="1" spans="1:7">
      <c r="A71" s="3" t="s">
        <v>113</v>
      </c>
      <c r="B71" s="3"/>
      <c r="C71" s="3"/>
      <c r="D71" s="10" t="s">
        <v>114</v>
      </c>
      <c r="E71" s="10" t="s">
        <v>115</v>
      </c>
      <c r="F71" s="11" t="s">
        <v>23</v>
      </c>
      <c r="G71" s="11">
        <v>1</v>
      </c>
    </row>
    <row r="72" s="72" customFormat="1" customHeight="1" spans="1:7">
      <c r="A72" s="3" t="s">
        <v>116</v>
      </c>
      <c r="B72" s="3"/>
      <c r="C72" s="3"/>
      <c r="D72" s="10" t="s">
        <v>117</v>
      </c>
      <c r="E72" s="10" t="s">
        <v>118</v>
      </c>
      <c r="F72" s="11" t="s">
        <v>23</v>
      </c>
      <c r="G72" s="11">
        <v>1</v>
      </c>
    </row>
    <row r="73" s="72" customFormat="1" customHeight="1" spans="1:7">
      <c r="A73" s="3" t="s">
        <v>119</v>
      </c>
      <c r="B73" s="3"/>
      <c r="C73" s="3"/>
      <c r="D73" s="10" t="s">
        <v>120</v>
      </c>
      <c r="E73" s="10" t="s">
        <v>121</v>
      </c>
      <c r="F73" s="11" t="s">
        <v>23</v>
      </c>
      <c r="G73" s="77">
        <v>1</v>
      </c>
    </row>
    <row r="74" s="72" customFormat="1" customHeight="1" spans="1:7">
      <c r="A74" s="3" t="s">
        <v>122</v>
      </c>
      <c r="B74" s="3"/>
      <c r="C74" s="3"/>
      <c r="D74" s="10" t="s">
        <v>123</v>
      </c>
      <c r="E74" s="10" t="s">
        <v>124</v>
      </c>
      <c r="F74" s="11" t="s">
        <v>23</v>
      </c>
      <c r="G74" s="11">
        <v>1</v>
      </c>
    </row>
    <row r="75" s="72" customFormat="1" customHeight="1" spans="1:7">
      <c r="A75" s="3" t="s">
        <v>125</v>
      </c>
      <c r="B75" s="3"/>
      <c r="C75" s="3"/>
      <c r="D75" s="10" t="s">
        <v>126</v>
      </c>
      <c r="E75" s="10" t="s">
        <v>127</v>
      </c>
      <c r="F75" s="11" t="s">
        <v>23</v>
      </c>
      <c r="G75" s="11">
        <v>1</v>
      </c>
    </row>
    <row r="76" s="72" customFormat="1" customHeight="1" spans="1:7">
      <c r="A76" s="3" t="s">
        <v>128</v>
      </c>
      <c r="B76" s="3"/>
      <c r="C76" s="82" t="s">
        <v>9</v>
      </c>
      <c r="D76" s="10" t="s">
        <v>129</v>
      </c>
      <c r="E76" s="10" t="s">
        <v>130</v>
      </c>
      <c r="F76" s="11" t="s">
        <v>26</v>
      </c>
      <c r="G76" s="11">
        <v>6</v>
      </c>
    </row>
    <row r="77" s="72" customFormat="1" customHeight="1" spans="1:7">
      <c r="A77" s="82" t="s">
        <v>131</v>
      </c>
      <c r="B77" s="3"/>
      <c r="C77" s="82" t="s">
        <v>9</v>
      </c>
      <c r="D77" s="10" t="s">
        <v>132</v>
      </c>
      <c r="E77" s="10" t="s">
        <v>133</v>
      </c>
      <c r="F77" s="11" t="s">
        <v>23</v>
      </c>
      <c r="G77" s="11">
        <v>2</v>
      </c>
    </row>
    <row r="78" s="72" customFormat="1" customHeight="1" spans="1:7">
      <c r="A78" s="82" t="s">
        <v>134</v>
      </c>
      <c r="B78" s="3"/>
      <c r="C78" s="82" t="s">
        <v>9</v>
      </c>
      <c r="D78" s="10" t="s">
        <v>135</v>
      </c>
      <c r="E78" s="10" t="s">
        <v>136</v>
      </c>
      <c r="F78" s="11" t="s">
        <v>21</v>
      </c>
      <c r="G78" s="11">
        <v>1</v>
      </c>
    </row>
    <row r="79" s="72" customFormat="1" customHeight="1" spans="1:7">
      <c r="A79" s="3" t="s">
        <v>137</v>
      </c>
      <c r="B79" s="3"/>
      <c r="C79" s="3"/>
      <c r="D79" s="10" t="s">
        <v>138</v>
      </c>
      <c r="E79" s="10"/>
      <c r="F79" s="11" t="s">
        <v>23</v>
      </c>
      <c r="G79" s="11">
        <v>0</v>
      </c>
    </row>
    <row r="80" s="72" customFormat="1" customHeight="1" spans="1:7">
      <c r="A80" s="3" t="s">
        <v>139</v>
      </c>
      <c r="B80" s="3"/>
      <c r="C80" s="3"/>
      <c r="D80" s="10" t="s">
        <v>140</v>
      </c>
      <c r="E80" s="10" t="s">
        <v>141</v>
      </c>
      <c r="F80" s="11" t="s">
        <v>23</v>
      </c>
      <c r="G80" s="11">
        <v>1</v>
      </c>
    </row>
    <row r="81" s="72" customFormat="1" customHeight="1" spans="1:7">
      <c r="A81" s="82" t="s">
        <v>142</v>
      </c>
      <c r="B81" s="3"/>
      <c r="C81" s="3"/>
      <c r="D81" s="10" t="s">
        <v>143</v>
      </c>
      <c r="E81" s="10"/>
      <c r="F81" s="11"/>
      <c r="G81" s="11"/>
    </row>
    <row r="82" s="72" customFormat="1" customHeight="1" spans="1:7">
      <c r="A82" s="82" t="s">
        <v>144</v>
      </c>
      <c r="B82" s="3"/>
      <c r="C82" s="3"/>
      <c r="D82" s="10" t="s">
        <v>145</v>
      </c>
      <c r="E82" s="10"/>
      <c r="F82" s="11"/>
      <c r="G82" s="11"/>
    </row>
    <row r="83" s="72" customFormat="1" customHeight="1" spans="1:7">
      <c r="A83" s="82" t="s">
        <v>146</v>
      </c>
      <c r="B83" s="3"/>
      <c r="C83" s="82" t="s">
        <v>9</v>
      </c>
      <c r="D83" s="10" t="s">
        <v>147</v>
      </c>
      <c r="E83" s="10" t="s">
        <v>148</v>
      </c>
      <c r="F83" s="11" t="s">
        <v>23</v>
      </c>
      <c r="G83" s="11">
        <v>1</v>
      </c>
    </row>
    <row r="84" s="72" customFormat="1" customHeight="1" spans="1:7">
      <c r="A84" s="3" t="s">
        <v>149</v>
      </c>
      <c r="B84" s="3"/>
      <c r="C84" s="82" t="s">
        <v>9</v>
      </c>
      <c r="D84" s="10" t="s">
        <v>150</v>
      </c>
      <c r="E84" s="10" t="s">
        <v>151</v>
      </c>
      <c r="F84" s="11" t="s">
        <v>23</v>
      </c>
      <c r="G84" s="11">
        <v>1</v>
      </c>
    </row>
    <row r="85" s="72" customFormat="1" customHeight="1" spans="1:7">
      <c r="A85" s="3" t="s">
        <v>152</v>
      </c>
      <c r="B85" s="3"/>
      <c r="C85" s="82" t="s">
        <v>9</v>
      </c>
      <c r="D85" s="10" t="s">
        <v>153</v>
      </c>
      <c r="E85" s="10" t="s">
        <v>154</v>
      </c>
      <c r="F85" s="11" t="s">
        <v>23</v>
      </c>
      <c r="G85" s="11">
        <v>1</v>
      </c>
    </row>
    <row r="86" s="72" customFormat="1" customHeight="1" spans="1:7">
      <c r="A86" s="82" t="s">
        <v>155</v>
      </c>
      <c r="B86" s="3"/>
      <c r="C86" s="82" t="s">
        <v>9</v>
      </c>
      <c r="D86" s="10" t="s">
        <v>156</v>
      </c>
      <c r="E86" s="10" t="s">
        <v>157</v>
      </c>
      <c r="F86" s="11" t="s">
        <v>23</v>
      </c>
      <c r="G86" s="11">
        <v>1</v>
      </c>
    </row>
    <row r="87" s="72" customFormat="1" customHeight="1" spans="1:7">
      <c r="A87" s="82" t="s">
        <v>158</v>
      </c>
      <c r="B87" s="3"/>
      <c r="C87" s="3"/>
      <c r="D87" s="10" t="s">
        <v>159</v>
      </c>
      <c r="E87" s="10" t="s">
        <v>160</v>
      </c>
      <c r="F87" s="11" t="s">
        <v>23</v>
      </c>
      <c r="G87" s="11">
        <v>1</v>
      </c>
    </row>
    <row r="88" s="72" customFormat="1" customHeight="1" spans="1:7">
      <c r="A88" s="82" t="s">
        <v>161</v>
      </c>
      <c r="B88" s="3"/>
      <c r="C88" s="3"/>
      <c r="D88" s="10" t="s">
        <v>162</v>
      </c>
      <c r="E88" s="10"/>
      <c r="F88" s="11" t="s">
        <v>26</v>
      </c>
      <c r="G88" s="11">
        <v>3</v>
      </c>
    </row>
    <row r="89" s="72" customFormat="1" customHeight="1" spans="1:7">
      <c r="A89" s="82" t="s">
        <v>163</v>
      </c>
      <c r="B89" s="3"/>
      <c r="C89" s="3"/>
      <c r="D89" s="10" t="s">
        <v>164</v>
      </c>
      <c r="E89" s="10" t="s">
        <v>165</v>
      </c>
      <c r="F89" s="11" t="s">
        <v>12</v>
      </c>
      <c r="G89" s="11">
        <v>1</v>
      </c>
    </row>
    <row r="90" s="72" customFormat="1" customHeight="1" spans="1:7">
      <c r="A90" s="82" t="s">
        <v>166</v>
      </c>
      <c r="B90" s="3"/>
      <c r="C90" s="3"/>
      <c r="D90" s="10" t="s">
        <v>167</v>
      </c>
      <c r="E90" s="10" t="s">
        <v>168</v>
      </c>
      <c r="F90" s="11" t="s">
        <v>12</v>
      </c>
      <c r="G90" s="11">
        <v>2</v>
      </c>
    </row>
    <row r="91" s="72" customFormat="1" customHeight="1" spans="1:7">
      <c r="A91" s="82" t="s">
        <v>169</v>
      </c>
      <c r="B91" s="3"/>
      <c r="C91" s="3"/>
      <c r="D91" s="10" t="s">
        <v>170</v>
      </c>
      <c r="E91" s="10" t="s">
        <v>165</v>
      </c>
      <c r="F91" s="11" t="s">
        <v>23</v>
      </c>
      <c r="G91" s="11">
        <v>2</v>
      </c>
    </row>
    <row r="92" s="72" customFormat="1" customHeight="1" spans="1:7">
      <c r="A92" s="82" t="s">
        <v>171</v>
      </c>
      <c r="B92" s="3"/>
      <c r="C92" s="82" t="s">
        <v>9</v>
      </c>
      <c r="D92" s="10" t="s">
        <v>172</v>
      </c>
      <c r="E92" s="10" t="s">
        <v>173</v>
      </c>
      <c r="F92" s="11" t="s">
        <v>23</v>
      </c>
      <c r="G92" s="11">
        <v>1</v>
      </c>
    </row>
    <row r="93" s="72" customFormat="1" ht="29" customHeight="1" spans="1:7">
      <c r="A93" s="3" t="s">
        <v>174</v>
      </c>
      <c r="B93" s="3"/>
      <c r="C93" s="3"/>
      <c r="D93" s="10" t="s">
        <v>175</v>
      </c>
      <c r="E93" s="10" t="s">
        <v>160</v>
      </c>
      <c r="F93" s="11" t="s">
        <v>23</v>
      </c>
      <c r="G93" s="11">
        <v>1</v>
      </c>
    </row>
    <row r="94" s="72" customFormat="1" customHeight="1" spans="1:7">
      <c r="A94" s="3" t="s">
        <v>176</v>
      </c>
      <c r="B94" s="3"/>
      <c r="C94" s="3"/>
      <c r="D94" s="10" t="s">
        <v>177</v>
      </c>
      <c r="E94" s="10" t="s">
        <v>165</v>
      </c>
      <c r="F94" s="11" t="s">
        <v>12</v>
      </c>
      <c r="G94" s="11">
        <v>1</v>
      </c>
    </row>
    <row r="95" s="72" customFormat="1" customHeight="1" spans="1:7">
      <c r="A95" s="3" t="s">
        <v>178</v>
      </c>
      <c r="B95" s="3"/>
      <c r="C95" s="82" t="s">
        <v>9</v>
      </c>
      <c r="D95" s="10" t="s">
        <v>179</v>
      </c>
      <c r="E95" s="10" t="s">
        <v>180</v>
      </c>
      <c r="F95" s="11" t="s">
        <v>23</v>
      </c>
      <c r="G95" s="11">
        <v>1</v>
      </c>
    </row>
    <row r="96" s="72" customFormat="1" customHeight="1" spans="1:7">
      <c r="A96" s="3" t="s">
        <v>181</v>
      </c>
      <c r="B96" s="3"/>
      <c r="C96" s="3"/>
      <c r="D96" s="10" t="s">
        <v>182</v>
      </c>
      <c r="E96" s="10"/>
      <c r="F96" s="11" t="s">
        <v>23</v>
      </c>
      <c r="G96" s="11">
        <v>1</v>
      </c>
    </row>
    <row r="97" s="72" customFormat="1" customHeight="1" spans="1:7">
      <c r="A97" s="3" t="s">
        <v>183</v>
      </c>
      <c r="B97" s="3"/>
      <c r="C97" s="3"/>
      <c r="D97" s="10" t="s">
        <v>184</v>
      </c>
      <c r="E97" s="10"/>
      <c r="F97" s="11"/>
      <c r="G97" s="11"/>
    </row>
    <row r="98" s="72" customFormat="1" customHeight="1" spans="1:7">
      <c r="A98" s="3" t="s">
        <v>185</v>
      </c>
      <c r="B98" s="3"/>
      <c r="C98" s="82" t="s">
        <v>9</v>
      </c>
      <c r="D98" s="10" t="s">
        <v>186</v>
      </c>
      <c r="E98" s="10" t="s">
        <v>187</v>
      </c>
      <c r="F98" s="11" t="s">
        <v>23</v>
      </c>
      <c r="G98" s="11">
        <v>1</v>
      </c>
    </row>
    <row r="99" s="72" customFormat="1" customHeight="1" spans="1:7">
      <c r="A99" s="3" t="s">
        <v>188</v>
      </c>
      <c r="B99" s="3"/>
      <c r="C99" s="3"/>
      <c r="D99" s="10" t="s">
        <v>189</v>
      </c>
      <c r="E99" s="10" t="s">
        <v>160</v>
      </c>
      <c r="F99" s="11" t="s">
        <v>23</v>
      </c>
      <c r="G99" s="11">
        <v>1</v>
      </c>
    </row>
    <row r="100" s="72" customFormat="1" customHeight="1" spans="1:7">
      <c r="A100" s="3" t="s">
        <v>190</v>
      </c>
      <c r="B100" s="3"/>
      <c r="C100" s="3"/>
      <c r="D100" s="10" t="s">
        <v>162</v>
      </c>
      <c r="E100" s="10"/>
      <c r="F100" s="11" t="s">
        <v>26</v>
      </c>
      <c r="G100" s="11">
        <v>3</v>
      </c>
    </row>
    <row r="101" s="72" customFormat="1" customHeight="1" spans="1:7">
      <c r="A101" s="3" t="s">
        <v>191</v>
      </c>
      <c r="B101" s="3"/>
      <c r="C101" s="3"/>
      <c r="D101" s="10" t="s">
        <v>164</v>
      </c>
      <c r="E101" s="10" t="s">
        <v>165</v>
      </c>
      <c r="F101" s="11" t="s">
        <v>12</v>
      </c>
      <c r="G101" s="11">
        <v>0</v>
      </c>
    </row>
    <row r="102" s="72" customFormat="1" customHeight="1" spans="1:7">
      <c r="A102" s="3" t="s">
        <v>192</v>
      </c>
      <c r="B102" s="3"/>
      <c r="C102" s="3"/>
      <c r="D102" s="10" t="s">
        <v>193</v>
      </c>
      <c r="E102" s="10" t="s">
        <v>194</v>
      </c>
      <c r="F102" s="11" t="s">
        <v>12</v>
      </c>
      <c r="G102" s="11">
        <v>1</v>
      </c>
    </row>
    <row r="103" s="72" customFormat="1" customHeight="1" spans="1:7">
      <c r="A103" s="3" t="s">
        <v>195</v>
      </c>
      <c r="B103" s="3"/>
      <c r="C103" s="82" t="s">
        <v>9</v>
      </c>
      <c r="D103" s="10" t="s">
        <v>196</v>
      </c>
      <c r="E103" s="10" t="s">
        <v>197</v>
      </c>
      <c r="F103" s="11" t="s">
        <v>23</v>
      </c>
      <c r="G103" s="11">
        <v>1</v>
      </c>
    </row>
    <row r="104" s="72" customFormat="1" customHeight="1" spans="1:7">
      <c r="A104" s="3" t="s">
        <v>198</v>
      </c>
      <c r="B104" s="3"/>
      <c r="C104" s="3"/>
      <c r="D104" s="10" t="s">
        <v>199</v>
      </c>
      <c r="E104" s="10" t="s">
        <v>200</v>
      </c>
      <c r="F104" s="11" t="s">
        <v>12</v>
      </c>
      <c r="G104" s="11">
        <v>1</v>
      </c>
    </row>
    <row r="105" s="72" customFormat="1" customHeight="1" spans="1:7">
      <c r="A105" s="3" t="s">
        <v>201</v>
      </c>
      <c r="B105" s="3"/>
      <c r="C105" s="82" t="s">
        <v>9</v>
      </c>
      <c r="D105" s="10" t="s">
        <v>179</v>
      </c>
      <c r="E105" s="10" t="s">
        <v>180</v>
      </c>
      <c r="F105" s="11" t="s">
        <v>23</v>
      </c>
      <c r="G105" s="11">
        <v>0</v>
      </c>
    </row>
    <row r="106" s="72" customFormat="1" customHeight="1" spans="1:7">
      <c r="A106" s="3" t="s">
        <v>202</v>
      </c>
      <c r="B106" s="3"/>
      <c r="C106" s="3"/>
      <c r="D106" s="10" t="s">
        <v>203</v>
      </c>
      <c r="E106" s="10" t="s">
        <v>204</v>
      </c>
      <c r="F106" s="11" t="s">
        <v>23</v>
      </c>
      <c r="G106" s="11">
        <v>1</v>
      </c>
    </row>
    <row r="107" s="72" customFormat="1" customHeight="1" spans="1:7">
      <c r="A107" s="3" t="s">
        <v>205</v>
      </c>
      <c r="B107" s="3"/>
      <c r="C107" s="82" t="s">
        <v>9</v>
      </c>
      <c r="D107" s="10" t="s">
        <v>206</v>
      </c>
      <c r="E107" s="10" t="s">
        <v>207</v>
      </c>
      <c r="F107" s="11" t="s">
        <v>23</v>
      </c>
      <c r="G107" s="11">
        <v>0</v>
      </c>
    </row>
    <row r="108" s="72" customFormat="1" customHeight="1" spans="1:7">
      <c r="A108" s="3" t="s">
        <v>208</v>
      </c>
      <c r="B108" s="3"/>
      <c r="C108" s="82" t="s">
        <v>9</v>
      </c>
      <c r="D108" s="10" t="s">
        <v>209</v>
      </c>
      <c r="E108" s="10" t="s">
        <v>207</v>
      </c>
      <c r="F108" s="11" t="s">
        <v>23</v>
      </c>
      <c r="G108" s="11">
        <v>1</v>
      </c>
    </row>
    <row r="109" s="72" customFormat="1" customHeight="1" spans="1:7">
      <c r="A109" s="3" t="s">
        <v>210</v>
      </c>
      <c r="B109" s="3"/>
      <c r="C109" s="3"/>
      <c r="D109" s="10" t="s">
        <v>211</v>
      </c>
      <c r="E109" s="10" t="s">
        <v>212</v>
      </c>
      <c r="F109" s="11" t="s">
        <v>23</v>
      </c>
      <c r="G109" s="11">
        <v>1</v>
      </c>
    </row>
    <row r="110" s="72" customFormat="1" customHeight="1" spans="1:7">
      <c r="A110" s="3" t="s">
        <v>213</v>
      </c>
      <c r="B110" s="3"/>
      <c r="C110" s="3"/>
      <c r="D110" s="10" t="s">
        <v>214</v>
      </c>
      <c r="E110" s="10" t="s">
        <v>215</v>
      </c>
      <c r="F110" s="11" t="s">
        <v>23</v>
      </c>
      <c r="G110" s="11">
        <v>1</v>
      </c>
    </row>
    <row r="111" s="72" customFormat="1" customHeight="1" spans="1:7">
      <c r="A111" s="3" t="s">
        <v>216</v>
      </c>
      <c r="B111" s="3"/>
      <c r="C111" s="3"/>
      <c r="D111" s="10" t="s">
        <v>217</v>
      </c>
      <c r="E111" s="10"/>
      <c r="F111" s="11" t="s">
        <v>12</v>
      </c>
      <c r="G111" s="11">
        <v>1</v>
      </c>
    </row>
    <row r="112" s="72" customFormat="1" customHeight="1" spans="1:7">
      <c r="A112" s="3"/>
      <c r="B112" s="3"/>
      <c r="C112" s="3"/>
      <c r="D112" s="10" t="s">
        <v>218</v>
      </c>
      <c r="E112" s="10"/>
      <c r="F112" s="11" t="s">
        <v>12</v>
      </c>
      <c r="G112" s="11">
        <v>1</v>
      </c>
    </row>
    <row r="113" s="72" customFormat="1" customHeight="1" spans="1:7">
      <c r="A113" s="3"/>
      <c r="B113" s="3"/>
      <c r="C113" s="3"/>
      <c r="D113" s="10"/>
      <c r="E113" s="10"/>
      <c r="F113" s="11"/>
      <c r="G113" s="11"/>
    </row>
    <row r="114" s="72" customFormat="1" customHeight="1" spans="1:7">
      <c r="A114" s="12"/>
      <c r="B114" s="12"/>
      <c r="C114" s="12"/>
      <c r="D114" s="13" t="s">
        <v>34</v>
      </c>
      <c r="E114" s="13"/>
      <c r="F114" s="14"/>
      <c r="G114" s="14"/>
    </row>
    <row r="115" s="72" customFormat="1" customHeight="1" spans="1:7">
      <c r="A115" s="3"/>
      <c r="B115" s="3"/>
      <c r="C115" s="3"/>
      <c r="D115" s="10"/>
      <c r="E115" s="10"/>
      <c r="F115" s="11"/>
      <c r="G115" s="11"/>
    </row>
    <row r="116" s="72" customFormat="1" customHeight="1" spans="1:7">
      <c r="A116" s="3">
        <v>1.3</v>
      </c>
      <c r="B116" s="3"/>
      <c r="C116" s="3"/>
      <c r="D116" s="7" t="s">
        <v>219</v>
      </c>
      <c r="E116" s="10"/>
      <c r="F116" s="11"/>
      <c r="G116" s="11"/>
    </row>
    <row r="117" s="72" customFormat="1" customHeight="1" spans="1:7">
      <c r="A117" s="3" t="s">
        <v>220</v>
      </c>
      <c r="B117" s="3"/>
      <c r="C117" s="3"/>
      <c r="D117" s="10" t="s">
        <v>221</v>
      </c>
      <c r="E117" s="10" t="s">
        <v>222</v>
      </c>
      <c r="F117" s="11" t="s">
        <v>223</v>
      </c>
      <c r="G117" s="11">
        <v>1</v>
      </c>
    </row>
    <row r="118" s="72" customFormat="1" customHeight="1" spans="1:7">
      <c r="A118" s="3"/>
      <c r="B118" s="3"/>
      <c r="C118" s="3"/>
      <c r="D118" s="10" t="s">
        <v>224</v>
      </c>
      <c r="E118" s="10"/>
      <c r="F118" s="11"/>
      <c r="G118" s="11"/>
    </row>
    <row r="119" s="72" customFormat="1" customHeight="1" spans="1:7">
      <c r="A119" s="3"/>
      <c r="B119" s="3"/>
      <c r="C119" s="82" t="s">
        <v>9</v>
      </c>
      <c r="D119" s="10" t="s">
        <v>225</v>
      </c>
      <c r="E119" s="10" t="s">
        <v>226</v>
      </c>
      <c r="F119" s="11" t="s">
        <v>23</v>
      </c>
      <c r="G119" s="11">
        <v>1</v>
      </c>
    </row>
    <row r="120" s="72" customFormat="1" customHeight="1" spans="1:7">
      <c r="A120" s="3"/>
      <c r="B120" s="3"/>
      <c r="C120" s="82" t="s">
        <v>9</v>
      </c>
      <c r="D120" s="10" t="s">
        <v>227</v>
      </c>
      <c r="E120" s="10" t="s">
        <v>228</v>
      </c>
      <c r="F120" s="11" t="s">
        <v>23</v>
      </c>
      <c r="G120" s="11">
        <v>1</v>
      </c>
    </row>
    <row r="121" s="72" customFormat="1" customHeight="1" spans="1:7">
      <c r="A121" s="3"/>
      <c r="B121" s="3"/>
      <c r="C121" s="82" t="s">
        <v>9</v>
      </c>
      <c r="D121" s="10" t="s">
        <v>229</v>
      </c>
      <c r="E121" s="10" t="s">
        <v>230</v>
      </c>
      <c r="F121" s="11" t="s">
        <v>23</v>
      </c>
      <c r="G121" s="11">
        <v>1</v>
      </c>
    </row>
    <row r="122" s="72" customFormat="1" ht="30" customHeight="1" spans="1:7">
      <c r="A122" s="3"/>
      <c r="B122" s="3"/>
      <c r="C122" s="82" t="s">
        <v>9</v>
      </c>
      <c r="D122" s="10" t="s">
        <v>231</v>
      </c>
      <c r="E122" s="10" t="s">
        <v>232</v>
      </c>
      <c r="F122" s="11" t="s">
        <v>23</v>
      </c>
      <c r="G122" s="11">
        <v>1</v>
      </c>
    </row>
    <row r="123" s="72" customFormat="1" customHeight="1" spans="1:7">
      <c r="A123" s="3"/>
      <c r="B123" s="3"/>
      <c r="C123" s="82" t="s">
        <v>9</v>
      </c>
      <c r="D123" s="10" t="s">
        <v>233</v>
      </c>
      <c r="E123" s="10" t="s">
        <v>234</v>
      </c>
      <c r="F123" s="11" t="s">
        <v>23</v>
      </c>
      <c r="G123" s="11">
        <v>1</v>
      </c>
    </row>
    <row r="124" s="72" customFormat="1" ht="39.75" customHeight="1" spans="1:7">
      <c r="A124" s="3"/>
      <c r="B124" s="3"/>
      <c r="C124" s="82" t="s">
        <v>9</v>
      </c>
      <c r="D124" s="10" t="s">
        <v>235</v>
      </c>
      <c r="E124" s="10" t="s">
        <v>236</v>
      </c>
      <c r="F124" s="11" t="s">
        <v>23</v>
      </c>
      <c r="G124" s="11">
        <v>1</v>
      </c>
    </row>
    <row r="125" s="72" customFormat="1" customHeight="1" spans="1:7">
      <c r="A125" s="3"/>
      <c r="B125" s="3"/>
      <c r="C125" s="82" t="s">
        <v>9</v>
      </c>
      <c r="D125" s="10" t="s">
        <v>237</v>
      </c>
      <c r="E125" s="10" t="s">
        <v>238</v>
      </c>
      <c r="F125" s="11" t="s">
        <v>23</v>
      </c>
      <c r="G125" s="11">
        <v>1</v>
      </c>
    </row>
    <row r="126" s="72" customFormat="1" customHeight="1" spans="1:7">
      <c r="A126" s="3"/>
      <c r="B126" s="3"/>
      <c r="C126" s="82" t="s">
        <v>9</v>
      </c>
      <c r="D126" s="10" t="s">
        <v>239</v>
      </c>
      <c r="E126" s="10" t="s">
        <v>240</v>
      </c>
      <c r="F126" s="11" t="s">
        <v>23</v>
      </c>
      <c r="G126" s="11">
        <v>1</v>
      </c>
    </row>
    <row r="127" s="72" customFormat="1" customHeight="1" spans="1:7">
      <c r="A127" s="3"/>
      <c r="B127" s="3"/>
      <c r="C127" s="82" t="s">
        <v>9</v>
      </c>
      <c r="D127" s="10" t="s">
        <v>241</v>
      </c>
      <c r="E127" s="10" t="s">
        <v>242</v>
      </c>
      <c r="F127" s="11" t="s">
        <v>23</v>
      </c>
      <c r="G127" s="11">
        <v>1</v>
      </c>
    </row>
    <row r="128" s="72" customFormat="1" customHeight="1" spans="1:7">
      <c r="A128" s="3"/>
      <c r="B128" s="3"/>
      <c r="C128" s="82" t="s">
        <v>9</v>
      </c>
      <c r="D128" s="10" t="s">
        <v>243</v>
      </c>
      <c r="E128" s="10" t="s">
        <v>244</v>
      </c>
      <c r="F128" s="11" t="s">
        <v>23</v>
      </c>
      <c r="G128" s="11">
        <v>1</v>
      </c>
    </row>
    <row r="129" s="72" customFormat="1" customHeight="1" spans="1:7">
      <c r="A129" s="3"/>
      <c r="B129" s="3"/>
      <c r="C129" s="82" t="s">
        <v>9</v>
      </c>
      <c r="D129" s="10" t="s">
        <v>245</v>
      </c>
      <c r="E129" s="10"/>
      <c r="F129" s="11" t="s">
        <v>23</v>
      </c>
      <c r="G129" s="11">
        <v>1</v>
      </c>
    </row>
    <row r="130" s="72" customFormat="1" customHeight="1" spans="1:7">
      <c r="A130" s="3" t="s">
        <v>246</v>
      </c>
      <c r="B130" s="3"/>
      <c r="C130" s="3"/>
      <c r="D130" s="7" t="s">
        <v>247</v>
      </c>
      <c r="E130" s="10"/>
      <c r="F130" s="11" t="s">
        <v>23</v>
      </c>
      <c r="G130" s="11">
        <v>1</v>
      </c>
    </row>
    <row r="131" s="72" customFormat="1" customHeight="1" spans="1:7">
      <c r="A131" s="3" t="s">
        <v>248</v>
      </c>
      <c r="B131" s="3"/>
      <c r="C131" s="82" t="s">
        <v>9</v>
      </c>
      <c r="D131" s="10" t="s">
        <v>249</v>
      </c>
      <c r="E131" s="10" t="s">
        <v>250</v>
      </c>
      <c r="F131" s="11" t="s">
        <v>23</v>
      </c>
      <c r="G131" s="11">
        <v>1</v>
      </c>
    </row>
    <row r="132" s="72" customFormat="1" customHeight="1" spans="1:7">
      <c r="A132" s="3"/>
      <c r="B132" s="3"/>
      <c r="C132" s="3"/>
      <c r="D132" s="10" t="s">
        <v>251</v>
      </c>
      <c r="E132" s="10" t="s">
        <v>252</v>
      </c>
      <c r="F132" s="11" t="s">
        <v>23</v>
      </c>
      <c r="G132" s="11">
        <v>2</v>
      </c>
    </row>
    <row r="133" s="72" customFormat="1" customHeight="1" spans="1:7">
      <c r="A133" s="3"/>
      <c r="B133" s="3"/>
      <c r="C133" s="3"/>
      <c r="D133" s="10" t="s">
        <v>253</v>
      </c>
      <c r="E133" s="10" t="s">
        <v>254</v>
      </c>
      <c r="F133" s="11" t="s">
        <v>23</v>
      </c>
      <c r="G133" s="11">
        <v>2</v>
      </c>
    </row>
    <row r="134" s="72" customFormat="1" customHeight="1" spans="1:7">
      <c r="A134" s="3"/>
      <c r="B134" s="3"/>
      <c r="C134" s="3"/>
      <c r="D134" s="10" t="s">
        <v>255</v>
      </c>
      <c r="E134" s="10" t="s">
        <v>256</v>
      </c>
      <c r="F134" s="11" t="s">
        <v>23</v>
      </c>
      <c r="G134" s="11">
        <v>2</v>
      </c>
    </row>
    <row r="135" s="72" customFormat="1" ht="66.75" customHeight="1" spans="1:7">
      <c r="A135" s="3" t="s">
        <v>257</v>
      </c>
      <c r="B135" s="3"/>
      <c r="C135" s="82" t="s">
        <v>9</v>
      </c>
      <c r="D135" s="10" t="s">
        <v>258</v>
      </c>
      <c r="E135" s="10" t="s">
        <v>259</v>
      </c>
      <c r="F135" s="11" t="s">
        <v>260</v>
      </c>
      <c r="G135" s="11">
        <v>6</v>
      </c>
    </row>
    <row r="136" s="72" customFormat="1" customHeight="1" spans="1:7">
      <c r="A136" s="3" t="s">
        <v>261</v>
      </c>
      <c r="B136" s="3"/>
      <c r="C136" s="82" t="s">
        <v>9</v>
      </c>
      <c r="D136" s="10" t="s">
        <v>262</v>
      </c>
      <c r="E136" s="10" t="s">
        <v>263</v>
      </c>
      <c r="F136" s="11" t="s">
        <v>23</v>
      </c>
      <c r="G136" s="11">
        <v>1</v>
      </c>
    </row>
    <row r="137" s="72" customFormat="1" customHeight="1" spans="1:7">
      <c r="A137" s="3" t="s">
        <v>264</v>
      </c>
      <c r="B137" s="3"/>
      <c r="C137" s="3"/>
      <c r="D137" s="10" t="s">
        <v>265</v>
      </c>
      <c r="E137" s="10" t="s">
        <v>266</v>
      </c>
      <c r="F137" s="11" t="s">
        <v>23</v>
      </c>
      <c r="G137" s="11">
        <v>6</v>
      </c>
    </row>
    <row r="138" s="72" customFormat="1" customHeight="1" spans="1:7">
      <c r="A138" s="3" t="s">
        <v>267</v>
      </c>
      <c r="B138" s="3"/>
      <c r="C138" s="82" t="s">
        <v>9</v>
      </c>
      <c r="D138" s="10" t="s">
        <v>268</v>
      </c>
      <c r="E138" s="10" t="s">
        <v>269</v>
      </c>
      <c r="F138" s="11" t="s">
        <v>23</v>
      </c>
      <c r="G138" s="11">
        <v>1</v>
      </c>
    </row>
    <row r="139" s="72" customFormat="1" customHeight="1" spans="1:7">
      <c r="A139" s="3" t="s">
        <v>270</v>
      </c>
      <c r="B139" s="3"/>
      <c r="C139" s="82" t="s">
        <v>9</v>
      </c>
      <c r="D139" s="10" t="s">
        <v>271</v>
      </c>
      <c r="E139" s="10" t="s">
        <v>272</v>
      </c>
      <c r="F139" s="11" t="s">
        <v>26</v>
      </c>
      <c r="G139" s="11">
        <v>6</v>
      </c>
    </row>
    <row r="140" s="72" customFormat="1" customHeight="1" spans="1:7">
      <c r="A140" s="3" t="s">
        <v>273</v>
      </c>
      <c r="B140" s="3"/>
      <c r="C140" s="82" t="s">
        <v>9</v>
      </c>
      <c r="D140" s="10" t="s">
        <v>274</v>
      </c>
      <c r="E140" s="10" t="s">
        <v>272</v>
      </c>
      <c r="F140" s="11" t="s">
        <v>26</v>
      </c>
      <c r="G140" s="11">
        <v>3</v>
      </c>
    </row>
    <row r="141" s="72" customFormat="1" ht="62" customHeight="1" spans="1:7">
      <c r="A141" s="3" t="s">
        <v>275</v>
      </c>
      <c r="B141" s="3"/>
      <c r="C141" s="82" t="s">
        <v>9</v>
      </c>
      <c r="D141" s="10" t="s">
        <v>276</v>
      </c>
      <c r="E141" s="10" t="s">
        <v>277</v>
      </c>
      <c r="F141" s="11" t="s">
        <v>23</v>
      </c>
      <c r="G141" s="11">
        <v>1</v>
      </c>
    </row>
    <row r="142" s="72" customFormat="1" ht="31.5" customHeight="1" spans="1:7">
      <c r="A142" s="3"/>
      <c r="B142" s="3"/>
      <c r="C142" s="3"/>
      <c r="D142" s="10" t="s">
        <v>278</v>
      </c>
      <c r="E142" s="10" t="s">
        <v>279</v>
      </c>
      <c r="F142" s="11" t="s">
        <v>260</v>
      </c>
      <c r="G142" s="11">
        <v>3</v>
      </c>
    </row>
    <row r="143" s="72" customFormat="1" customHeight="1" spans="1:7">
      <c r="A143" s="3" t="s">
        <v>280</v>
      </c>
      <c r="B143" s="3"/>
      <c r="C143" s="82" t="s">
        <v>9</v>
      </c>
      <c r="D143" s="10" t="s">
        <v>281</v>
      </c>
      <c r="E143" s="10" t="s">
        <v>282</v>
      </c>
      <c r="F143" s="11" t="s">
        <v>23</v>
      </c>
      <c r="G143" s="11">
        <v>1</v>
      </c>
    </row>
    <row r="144" s="72" customFormat="1" customHeight="1" spans="1:7">
      <c r="A144" s="3" t="s">
        <v>283</v>
      </c>
      <c r="B144" s="3"/>
      <c r="C144" s="82" t="s">
        <v>9</v>
      </c>
      <c r="D144" s="10" t="s">
        <v>284</v>
      </c>
      <c r="E144" s="10" t="s">
        <v>285</v>
      </c>
      <c r="F144" s="11" t="s">
        <v>23</v>
      </c>
      <c r="G144" s="11">
        <v>1</v>
      </c>
    </row>
    <row r="145" s="72" customFormat="1" customHeight="1" spans="1:7">
      <c r="A145" s="3" t="s">
        <v>286</v>
      </c>
      <c r="B145" s="3"/>
      <c r="C145" s="3"/>
      <c r="D145" s="10" t="s">
        <v>287</v>
      </c>
      <c r="E145" s="10"/>
      <c r="F145" s="11"/>
      <c r="G145" s="11"/>
    </row>
    <row r="146" s="72" customFormat="1" customHeight="1" spans="1:7">
      <c r="A146" s="3"/>
      <c r="B146" s="3"/>
      <c r="C146" s="82" t="s">
        <v>9</v>
      </c>
      <c r="D146" s="10" t="s">
        <v>288</v>
      </c>
      <c r="E146" s="10" t="s">
        <v>289</v>
      </c>
      <c r="F146" s="11" t="s">
        <v>23</v>
      </c>
      <c r="G146" s="11">
        <v>1</v>
      </c>
    </row>
    <row r="147" s="72" customFormat="1" customHeight="1" spans="1:7">
      <c r="A147" s="3"/>
      <c r="B147" s="3"/>
      <c r="C147" s="3"/>
      <c r="D147" s="10" t="s">
        <v>290</v>
      </c>
      <c r="E147" s="10"/>
      <c r="F147" s="11"/>
      <c r="G147" s="11"/>
    </row>
    <row r="148" s="72" customFormat="1" customHeight="1" spans="1:7">
      <c r="A148" s="3"/>
      <c r="B148" s="3"/>
      <c r="C148" s="82" t="s">
        <v>9</v>
      </c>
      <c r="D148" s="10" t="s">
        <v>291</v>
      </c>
      <c r="E148" s="10" t="s">
        <v>292</v>
      </c>
      <c r="F148" s="11" t="s">
        <v>23</v>
      </c>
      <c r="G148" s="11">
        <v>1</v>
      </c>
    </row>
    <row r="149" s="72" customFormat="1" customHeight="1" spans="1:7">
      <c r="A149" s="3" t="s">
        <v>293</v>
      </c>
      <c r="B149" s="3"/>
      <c r="C149" s="82" t="s">
        <v>9</v>
      </c>
      <c r="D149" s="10" t="s">
        <v>294</v>
      </c>
      <c r="E149" s="10" t="s">
        <v>295</v>
      </c>
      <c r="F149" s="11" t="s">
        <v>23</v>
      </c>
      <c r="G149" s="11">
        <v>1</v>
      </c>
    </row>
    <row r="150" s="72" customFormat="1" customHeight="1" spans="1:7">
      <c r="A150" s="3" t="s">
        <v>296</v>
      </c>
      <c r="B150" s="3"/>
      <c r="C150" s="82" t="s">
        <v>9</v>
      </c>
      <c r="D150" s="10" t="s">
        <v>297</v>
      </c>
      <c r="E150" s="10" t="s">
        <v>298</v>
      </c>
      <c r="F150" s="11" t="s">
        <v>23</v>
      </c>
      <c r="G150" s="11">
        <v>1</v>
      </c>
    </row>
    <row r="151" s="72" customFormat="1" customHeight="1" spans="1:7">
      <c r="A151" s="3" t="s">
        <v>299</v>
      </c>
      <c r="B151" s="3"/>
      <c r="C151" s="3"/>
      <c r="D151" s="7" t="s">
        <v>300</v>
      </c>
      <c r="E151" s="10"/>
      <c r="F151" s="11"/>
      <c r="G151" s="11"/>
    </row>
    <row r="152" s="72" customFormat="1" customHeight="1" spans="1:7">
      <c r="A152" s="3" t="s">
        <v>301</v>
      </c>
      <c r="B152" s="3"/>
      <c r="C152" s="3"/>
      <c r="D152" s="10" t="s">
        <v>302</v>
      </c>
      <c r="E152" s="10" t="s">
        <v>303</v>
      </c>
      <c r="F152" s="11" t="s">
        <v>12</v>
      </c>
      <c r="G152" s="11">
        <v>12</v>
      </c>
    </row>
    <row r="153" s="72" customFormat="1" customHeight="1" spans="1:7">
      <c r="A153" s="3" t="s">
        <v>304</v>
      </c>
      <c r="B153" s="3"/>
      <c r="C153" s="82" t="s">
        <v>9</v>
      </c>
      <c r="D153" s="10" t="s">
        <v>196</v>
      </c>
      <c r="E153" s="10" t="s">
        <v>305</v>
      </c>
      <c r="F153" s="11" t="s">
        <v>26</v>
      </c>
      <c r="G153" s="11">
        <v>2</v>
      </c>
    </row>
    <row r="154" s="72" customFormat="1" customHeight="1" spans="1:7">
      <c r="A154" s="3" t="s">
        <v>306</v>
      </c>
      <c r="B154" s="3"/>
      <c r="C154" s="82" t="s">
        <v>9</v>
      </c>
      <c r="D154" s="10" t="s">
        <v>196</v>
      </c>
      <c r="E154" s="10" t="s">
        <v>307</v>
      </c>
      <c r="F154" s="11" t="s">
        <v>26</v>
      </c>
      <c r="G154" s="11">
        <v>2</v>
      </c>
    </row>
    <row r="155" s="72" customFormat="1" customHeight="1" spans="1:7">
      <c r="A155" s="3" t="s">
        <v>308</v>
      </c>
      <c r="B155" s="3"/>
      <c r="C155" s="82" t="s">
        <v>9</v>
      </c>
      <c r="D155" s="10" t="s">
        <v>196</v>
      </c>
      <c r="E155" s="10" t="s">
        <v>309</v>
      </c>
      <c r="F155" s="11" t="s">
        <v>26</v>
      </c>
      <c r="G155" s="11">
        <v>5</v>
      </c>
    </row>
    <row r="156" s="72" customFormat="1" customHeight="1" spans="1:7">
      <c r="A156" s="3" t="s">
        <v>310</v>
      </c>
      <c r="B156" s="3"/>
      <c r="C156" s="3"/>
      <c r="D156" s="10" t="s">
        <v>311</v>
      </c>
      <c r="E156" s="10" t="s">
        <v>312</v>
      </c>
      <c r="F156" s="11" t="s">
        <v>26</v>
      </c>
      <c r="G156" s="11">
        <v>8</v>
      </c>
    </row>
    <row r="157" s="72" customFormat="1" customHeight="1" spans="1:7">
      <c r="A157" s="3" t="s">
        <v>313</v>
      </c>
      <c r="B157" s="3"/>
      <c r="C157" s="3"/>
      <c r="D157" s="10" t="s">
        <v>199</v>
      </c>
      <c r="E157" s="10" t="s">
        <v>314</v>
      </c>
      <c r="F157" s="11" t="s">
        <v>12</v>
      </c>
      <c r="G157" s="11">
        <v>1</v>
      </c>
    </row>
    <row r="158" s="72" customFormat="1" customHeight="1" spans="1:7">
      <c r="A158" s="3" t="s">
        <v>315</v>
      </c>
      <c r="B158" s="3"/>
      <c r="C158" s="82" t="s">
        <v>9</v>
      </c>
      <c r="D158" s="10" t="s">
        <v>316</v>
      </c>
      <c r="E158" s="10" t="s">
        <v>317</v>
      </c>
      <c r="F158" s="11" t="s">
        <v>26</v>
      </c>
      <c r="G158" s="11">
        <v>2</v>
      </c>
    </row>
    <row r="159" s="72" customFormat="1" customHeight="1" spans="1:7">
      <c r="A159" s="3" t="s">
        <v>318</v>
      </c>
      <c r="B159" s="3"/>
      <c r="C159" s="3"/>
      <c r="D159" s="10" t="s">
        <v>319</v>
      </c>
      <c r="E159" s="10" t="s">
        <v>312</v>
      </c>
      <c r="F159" s="11" t="s">
        <v>26</v>
      </c>
      <c r="G159" s="11">
        <v>2</v>
      </c>
    </row>
    <row r="160" s="72" customFormat="1" customHeight="1" spans="1:7">
      <c r="A160" s="3" t="s">
        <v>320</v>
      </c>
      <c r="B160" s="3"/>
      <c r="C160" s="82" t="s">
        <v>9</v>
      </c>
      <c r="D160" s="10" t="s">
        <v>321</v>
      </c>
      <c r="E160" s="10" t="s">
        <v>322</v>
      </c>
      <c r="F160" s="11" t="s">
        <v>23</v>
      </c>
      <c r="G160" s="11">
        <v>1</v>
      </c>
    </row>
    <row r="161" s="72" customFormat="1" customHeight="1" spans="1:7">
      <c r="A161" s="3" t="s">
        <v>323</v>
      </c>
      <c r="B161" s="3"/>
      <c r="C161" s="3"/>
      <c r="D161" s="10" t="s">
        <v>324</v>
      </c>
      <c r="E161" s="10"/>
      <c r="F161" s="11" t="s">
        <v>23</v>
      </c>
      <c r="G161" s="11">
        <v>0</v>
      </c>
    </row>
    <row r="162" s="72" customFormat="1" customHeight="1" spans="1:7">
      <c r="A162" s="3" t="s">
        <v>325</v>
      </c>
      <c r="B162" s="3"/>
      <c r="C162" s="82" t="s">
        <v>9</v>
      </c>
      <c r="D162" s="10" t="s">
        <v>326</v>
      </c>
      <c r="E162" s="10" t="s">
        <v>327</v>
      </c>
      <c r="F162" s="11" t="s">
        <v>23</v>
      </c>
      <c r="G162" s="11">
        <v>0</v>
      </c>
    </row>
    <row r="163" s="72" customFormat="1" customHeight="1" spans="1:7">
      <c r="A163" s="3" t="s">
        <v>328</v>
      </c>
      <c r="B163" s="3"/>
      <c r="C163" s="3"/>
      <c r="D163" s="7" t="s">
        <v>329</v>
      </c>
      <c r="E163" s="10"/>
      <c r="F163" s="11"/>
      <c r="G163" s="11"/>
    </row>
    <row r="164" s="72" customFormat="1" customHeight="1" spans="1:7">
      <c r="A164" s="3" t="s">
        <v>330</v>
      </c>
      <c r="B164" s="3"/>
      <c r="C164" s="3"/>
      <c r="D164" s="10" t="s">
        <v>331</v>
      </c>
      <c r="E164" s="10" t="s">
        <v>332</v>
      </c>
      <c r="F164" s="11" t="s">
        <v>12</v>
      </c>
      <c r="G164" s="11">
        <v>14</v>
      </c>
    </row>
    <row r="165" s="72" customFormat="1" customHeight="1" spans="1:7">
      <c r="A165" s="3" t="s">
        <v>333</v>
      </c>
      <c r="B165" s="3"/>
      <c r="C165" s="82" t="s">
        <v>9</v>
      </c>
      <c r="D165" s="10" t="s">
        <v>196</v>
      </c>
      <c r="E165" s="10" t="s">
        <v>334</v>
      </c>
      <c r="F165" s="11" t="s">
        <v>26</v>
      </c>
      <c r="G165" s="11">
        <v>4</v>
      </c>
    </row>
    <row r="166" s="72" customFormat="1" customHeight="1" spans="1:7">
      <c r="A166" s="3" t="s">
        <v>335</v>
      </c>
      <c r="B166" s="3"/>
      <c r="C166" s="82" t="s">
        <v>9</v>
      </c>
      <c r="D166" s="10" t="s">
        <v>196</v>
      </c>
      <c r="E166" s="10" t="s">
        <v>336</v>
      </c>
      <c r="F166" s="11" t="s">
        <v>26</v>
      </c>
      <c r="G166" s="11">
        <v>1</v>
      </c>
    </row>
    <row r="167" s="72" customFormat="1" customHeight="1" spans="1:7">
      <c r="A167" s="3" t="s">
        <v>337</v>
      </c>
      <c r="B167" s="3"/>
      <c r="C167" s="3"/>
      <c r="D167" s="10" t="s">
        <v>199</v>
      </c>
      <c r="E167" s="10" t="s">
        <v>338</v>
      </c>
      <c r="F167" s="11" t="s">
        <v>12</v>
      </c>
      <c r="G167" s="11">
        <v>5</v>
      </c>
    </row>
    <row r="168" s="72" customFormat="1" customHeight="1" spans="1:7">
      <c r="A168" s="3" t="s">
        <v>339</v>
      </c>
      <c r="B168" s="3"/>
      <c r="C168" s="3"/>
      <c r="D168" s="10" t="s">
        <v>340</v>
      </c>
      <c r="E168" s="10" t="s">
        <v>341</v>
      </c>
      <c r="F168" s="11" t="s">
        <v>23</v>
      </c>
      <c r="G168" s="11">
        <v>1</v>
      </c>
    </row>
    <row r="169" s="72" customFormat="1" customHeight="1" spans="1:7">
      <c r="A169" s="3" t="s">
        <v>342</v>
      </c>
      <c r="B169" s="3"/>
      <c r="C169" s="3"/>
      <c r="D169" s="10" t="s">
        <v>316</v>
      </c>
      <c r="E169" s="10" t="s">
        <v>309</v>
      </c>
      <c r="F169" s="11" t="s">
        <v>23</v>
      </c>
      <c r="G169" s="11">
        <v>1</v>
      </c>
    </row>
    <row r="170" s="72" customFormat="1" customHeight="1" spans="1:7">
      <c r="A170" s="3" t="s">
        <v>343</v>
      </c>
      <c r="B170" s="3"/>
      <c r="C170" s="3"/>
      <c r="D170" s="10" t="s">
        <v>319</v>
      </c>
      <c r="E170" s="10" t="s">
        <v>344</v>
      </c>
      <c r="F170" s="11" t="s">
        <v>26</v>
      </c>
      <c r="G170" s="11">
        <v>1</v>
      </c>
    </row>
    <row r="171" s="72" customFormat="1" customHeight="1" spans="1:7">
      <c r="A171" s="3" t="s">
        <v>343</v>
      </c>
      <c r="B171" s="3"/>
      <c r="C171" s="3"/>
      <c r="D171" s="10" t="s">
        <v>321</v>
      </c>
      <c r="E171" s="10" t="s">
        <v>322</v>
      </c>
      <c r="F171" s="11" t="s">
        <v>23</v>
      </c>
      <c r="G171" s="11">
        <v>1</v>
      </c>
    </row>
    <row r="172" s="72" customFormat="1" customHeight="1" spans="1:7">
      <c r="A172" s="3" t="s">
        <v>345</v>
      </c>
      <c r="B172" s="3"/>
      <c r="C172" s="3"/>
      <c r="D172" s="10" t="s">
        <v>346</v>
      </c>
      <c r="E172" s="10" t="s">
        <v>347</v>
      </c>
      <c r="F172" s="11" t="s">
        <v>12</v>
      </c>
      <c r="G172" s="11">
        <v>1</v>
      </c>
    </row>
    <row r="173" s="72" customFormat="1" customHeight="1" spans="1:7">
      <c r="A173" s="3" t="s">
        <v>348</v>
      </c>
      <c r="B173" s="3"/>
      <c r="C173" s="3"/>
      <c r="D173" s="10" t="s">
        <v>349</v>
      </c>
      <c r="E173" s="10"/>
      <c r="F173" s="11" t="s">
        <v>26</v>
      </c>
      <c r="G173" s="11">
        <v>1</v>
      </c>
    </row>
    <row r="174" s="72" customFormat="1" customHeight="1" spans="1:7">
      <c r="A174" s="3" t="s">
        <v>350</v>
      </c>
      <c r="B174" s="3"/>
      <c r="C174" s="3"/>
      <c r="D174" s="10" t="s">
        <v>351</v>
      </c>
      <c r="E174" s="10" t="s">
        <v>352</v>
      </c>
      <c r="F174" s="11" t="s">
        <v>21</v>
      </c>
      <c r="G174" s="11">
        <v>1</v>
      </c>
    </row>
    <row r="175" s="72" customFormat="1" customHeight="1" spans="1:7">
      <c r="A175" s="3"/>
      <c r="B175" s="3"/>
      <c r="C175" s="3"/>
      <c r="D175" s="10" t="s">
        <v>77</v>
      </c>
      <c r="E175" s="10"/>
      <c r="F175" s="11" t="s">
        <v>23</v>
      </c>
      <c r="G175" s="11">
        <v>1</v>
      </c>
    </row>
    <row r="176" s="72" customFormat="1" customHeight="1" spans="1:7">
      <c r="A176" s="3" t="s">
        <v>353</v>
      </c>
      <c r="B176" s="3"/>
      <c r="C176" s="3"/>
      <c r="D176" s="10" t="s">
        <v>354</v>
      </c>
      <c r="E176" s="10" t="s">
        <v>355</v>
      </c>
      <c r="F176" s="11" t="s">
        <v>26</v>
      </c>
      <c r="G176" s="11">
        <v>8</v>
      </c>
    </row>
    <row r="177" s="72" customFormat="1" customHeight="1" spans="1:7">
      <c r="A177" s="3" t="s">
        <v>356</v>
      </c>
      <c r="B177" s="3"/>
      <c r="C177" s="3"/>
      <c r="D177" s="10" t="s">
        <v>357</v>
      </c>
      <c r="E177" s="10" t="s">
        <v>358</v>
      </c>
      <c r="F177" s="11" t="s">
        <v>26</v>
      </c>
      <c r="G177" s="11">
        <v>3</v>
      </c>
    </row>
    <row r="178" s="72" customFormat="1" customHeight="1" spans="1:7">
      <c r="A178" s="3" t="s">
        <v>359</v>
      </c>
      <c r="B178" s="3"/>
      <c r="C178" s="3"/>
      <c r="D178" s="10" t="s">
        <v>360</v>
      </c>
      <c r="E178" s="10" t="s">
        <v>361</v>
      </c>
      <c r="F178" s="11" t="s">
        <v>21</v>
      </c>
      <c r="G178" s="11">
        <v>1</v>
      </c>
    </row>
    <row r="179" s="72" customFormat="1" customHeight="1" spans="1:7">
      <c r="A179" s="3"/>
      <c r="B179" s="3"/>
      <c r="C179" s="3"/>
      <c r="D179" s="10" t="s">
        <v>77</v>
      </c>
      <c r="E179" s="10"/>
      <c r="F179" s="11" t="s">
        <v>23</v>
      </c>
      <c r="G179" s="11">
        <v>1</v>
      </c>
    </row>
    <row r="180" s="72" customFormat="1" customHeight="1" spans="1:7">
      <c r="A180" s="3" t="s">
        <v>362</v>
      </c>
      <c r="B180" s="3"/>
      <c r="C180" s="3"/>
      <c r="D180" s="10" t="s">
        <v>363</v>
      </c>
      <c r="E180" s="10" t="s">
        <v>364</v>
      </c>
      <c r="F180" s="11" t="s">
        <v>21</v>
      </c>
      <c r="G180" s="11">
        <v>1</v>
      </c>
    </row>
    <row r="181" s="72" customFormat="1" customHeight="1" spans="1:7">
      <c r="A181" s="3" t="s">
        <v>365</v>
      </c>
      <c r="B181" s="3"/>
      <c r="C181" s="3"/>
      <c r="D181" s="10" t="s">
        <v>366</v>
      </c>
      <c r="E181" s="10"/>
      <c r="F181" s="11" t="s">
        <v>23</v>
      </c>
      <c r="G181" s="11">
        <v>1</v>
      </c>
    </row>
    <row r="182" s="72" customFormat="1" customHeight="1" spans="1:7">
      <c r="A182" s="3"/>
      <c r="B182" s="3"/>
      <c r="C182" s="3"/>
      <c r="D182" s="10" t="s">
        <v>367</v>
      </c>
      <c r="E182" s="10"/>
      <c r="F182" s="11" t="s">
        <v>23</v>
      </c>
      <c r="G182" s="11">
        <v>3</v>
      </c>
    </row>
    <row r="183" s="72" customFormat="1" customHeight="1" spans="1:7">
      <c r="A183" s="3"/>
      <c r="B183" s="3"/>
      <c r="C183" s="3"/>
      <c r="D183" s="10" t="s">
        <v>368</v>
      </c>
      <c r="E183" s="10" t="s">
        <v>369</v>
      </c>
      <c r="F183" s="11" t="s">
        <v>23</v>
      </c>
      <c r="G183" s="11">
        <v>1</v>
      </c>
    </row>
    <row r="184" s="72" customFormat="1" customHeight="1" spans="1:7">
      <c r="A184" s="3"/>
      <c r="B184" s="3"/>
      <c r="C184" s="3"/>
      <c r="D184" s="10" t="s">
        <v>370</v>
      </c>
      <c r="E184" s="10"/>
      <c r="F184" s="11" t="s">
        <v>23</v>
      </c>
      <c r="G184" s="11">
        <v>1</v>
      </c>
    </row>
    <row r="185" s="72" customFormat="1" customHeight="1" spans="1:7">
      <c r="A185" s="3"/>
      <c r="B185" s="3"/>
      <c r="C185" s="3"/>
      <c r="D185" s="10" t="s">
        <v>371</v>
      </c>
      <c r="E185" s="10" t="s">
        <v>372</v>
      </c>
      <c r="F185" s="11" t="s">
        <v>23</v>
      </c>
      <c r="G185" s="11">
        <v>1</v>
      </c>
    </row>
    <row r="186" s="72" customFormat="1" customHeight="1" spans="1:7">
      <c r="A186" s="3"/>
      <c r="B186" s="3"/>
      <c r="C186" s="3"/>
      <c r="D186" s="10" t="s">
        <v>373</v>
      </c>
      <c r="E186" s="10"/>
      <c r="F186" s="11" t="s">
        <v>23</v>
      </c>
      <c r="G186" s="11">
        <v>3</v>
      </c>
    </row>
    <row r="187" s="72" customFormat="1" customHeight="1" spans="1:7">
      <c r="A187" s="3"/>
      <c r="B187" s="3"/>
      <c r="C187" s="3"/>
      <c r="D187" s="10" t="s">
        <v>374</v>
      </c>
      <c r="E187" s="10"/>
      <c r="F187" s="11" t="s">
        <v>23</v>
      </c>
      <c r="G187" s="11">
        <v>1</v>
      </c>
    </row>
    <row r="188" s="72" customFormat="1" customHeight="1" spans="1:7">
      <c r="A188" s="3" t="s">
        <v>375</v>
      </c>
      <c r="B188" s="3"/>
      <c r="C188" s="3"/>
      <c r="D188" s="10" t="s">
        <v>376</v>
      </c>
      <c r="E188" s="10" t="s">
        <v>377</v>
      </c>
      <c r="F188" s="11" t="s">
        <v>23</v>
      </c>
      <c r="G188" s="11">
        <v>1</v>
      </c>
    </row>
    <row r="189" s="72" customFormat="1" customHeight="1" spans="1:7">
      <c r="A189" s="3" t="s">
        <v>378</v>
      </c>
      <c r="B189" s="3"/>
      <c r="C189" s="3"/>
      <c r="D189" s="10" t="s">
        <v>379</v>
      </c>
      <c r="E189" s="10" t="s">
        <v>380</v>
      </c>
      <c r="F189" s="11" t="s">
        <v>23</v>
      </c>
      <c r="G189" s="11">
        <v>1</v>
      </c>
    </row>
    <row r="190" s="72" customFormat="1" customHeight="1" spans="1:7">
      <c r="A190" s="3" t="s">
        <v>381</v>
      </c>
      <c r="B190" s="3"/>
      <c r="C190" s="3"/>
      <c r="D190" s="10" t="s">
        <v>382</v>
      </c>
      <c r="E190" s="10"/>
      <c r="F190" s="11" t="s">
        <v>26</v>
      </c>
      <c r="G190" s="11">
        <v>18</v>
      </c>
    </row>
    <row r="191" s="72" customFormat="1" customHeight="1" spans="1:7">
      <c r="A191" s="3" t="s">
        <v>383</v>
      </c>
      <c r="B191" s="3"/>
      <c r="C191" s="3"/>
      <c r="D191" s="10" t="s">
        <v>384</v>
      </c>
      <c r="E191" s="10" t="s">
        <v>385</v>
      </c>
      <c r="F191" s="11" t="s">
        <v>26</v>
      </c>
      <c r="G191" s="11">
        <v>18</v>
      </c>
    </row>
    <row r="192" s="72" customFormat="1" customHeight="1" spans="1:7">
      <c r="A192" s="3" t="s">
        <v>386</v>
      </c>
      <c r="B192" s="3"/>
      <c r="C192" s="3"/>
      <c r="D192" s="10" t="s">
        <v>387</v>
      </c>
      <c r="E192" s="10" t="s">
        <v>388</v>
      </c>
      <c r="F192" s="11"/>
      <c r="G192" s="11"/>
    </row>
    <row r="193" s="72" customFormat="1" customHeight="1" spans="1:7">
      <c r="A193" s="3" t="s">
        <v>389</v>
      </c>
      <c r="B193" s="3"/>
      <c r="C193" s="3"/>
      <c r="D193" s="10" t="s">
        <v>390</v>
      </c>
      <c r="E193" s="10"/>
      <c r="F193" s="11"/>
      <c r="G193" s="11"/>
    </row>
    <row r="194" s="72" customFormat="1" customHeight="1" spans="1:7">
      <c r="A194" s="3"/>
      <c r="B194" s="3"/>
      <c r="C194" s="3"/>
      <c r="D194" s="10" t="s">
        <v>391</v>
      </c>
      <c r="E194" s="10" t="s">
        <v>392</v>
      </c>
      <c r="F194" s="11" t="s">
        <v>21</v>
      </c>
      <c r="G194" s="11">
        <v>1</v>
      </c>
    </row>
    <row r="195" s="72" customFormat="1" customHeight="1" spans="1:7">
      <c r="A195" s="3"/>
      <c r="B195" s="3"/>
      <c r="C195" s="3"/>
      <c r="D195" s="10" t="s">
        <v>370</v>
      </c>
      <c r="E195" s="10" t="s">
        <v>393</v>
      </c>
      <c r="F195" s="11" t="s">
        <v>23</v>
      </c>
      <c r="G195" s="11">
        <v>3</v>
      </c>
    </row>
    <row r="196" s="72" customFormat="1" customHeight="1" spans="1:7">
      <c r="A196" s="3"/>
      <c r="B196" s="3"/>
      <c r="C196" s="3"/>
      <c r="D196" s="10" t="s">
        <v>394</v>
      </c>
      <c r="E196" s="10" t="s">
        <v>395</v>
      </c>
      <c r="F196" s="11" t="s">
        <v>23</v>
      </c>
      <c r="G196" s="11">
        <v>1</v>
      </c>
    </row>
    <row r="197" s="72" customFormat="1" customHeight="1" spans="1:7">
      <c r="A197" s="3"/>
      <c r="B197" s="3"/>
      <c r="C197" s="3"/>
      <c r="D197" s="10" t="s">
        <v>396</v>
      </c>
      <c r="E197" s="10" t="s">
        <v>397</v>
      </c>
      <c r="F197" s="11" t="s">
        <v>26</v>
      </c>
      <c r="G197" s="11">
        <v>2</v>
      </c>
    </row>
    <row r="198" s="72" customFormat="1" customHeight="1" spans="1:7">
      <c r="A198" s="3"/>
      <c r="B198" s="3"/>
      <c r="C198" s="3"/>
      <c r="D198" s="10" t="s">
        <v>398</v>
      </c>
      <c r="E198" s="10" t="s">
        <v>399</v>
      </c>
      <c r="F198" s="11" t="s">
        <v>23</v>
      </c>
      <c r="G198" s="11">
        <v>3</v>
      </c>
    </row>
    <row r="199" s="72" customFormat="1" customHeight="1" spans="1:7">
      <c r="A199" s="3" t="s">
        <v>400</v>
      </c>
      <c r="B199" s="3"/>
      <c r="C199" s="3"/>
      <c r="D199" s="10" t="s">
        <v>401</v>
      </c>
      <c r="E199" s="10" t="s">
        <v>402</v>
      </c>
      <c r="F199" s="11" t="s">
        <v>21</v>
      </c>
      <c r="G199" s="11">
        <v>1</v>
      </c>
    </row>
    <row r="200" s="72" customFormat="1" customHeight="1" spans="1:7">
      <c r="A200" s="3" t="s">
        <v>403</v>
      </c>
      <c r="B200" s="3"/>
      <c r="C200" s="3"/>
      <c r="D200" s="10" t="s">
        <v>404</v>
      </c>
      <c r="E200" s="10" t="s">
        <v>405</v>
      </c>
      <c r="F200" s="11" t="s">
        <v>23</v>
      </c>
      <c r="G200" s="11">
        <v>1</v>
      </c>
    </row>
    <row r="201" s="72" customFormat="1" customHeight="1" spans="1:7">
      <c r="A201" s="3" t="s">
        <v>406</v>
      </c>
      <c r="B201" s="3"/>
      <c r="C201" s="3"/>
      <c r="D201" s="10" t="s">
        <v>407</v>
      </c>
      <c r="E201" s="10" t="s">
        <v>408</v>
      </c>
      <c r="F201" s="11" t="s">
        <v>12</v>
      </c>
      <c r="G201" s="11">
        <v>1</v>
      </c>
    </row>
    <row r="202" s="72" customFormat="1" customHeight="1" spans="1:7">
      <c r="A202" s="3" t="s">
        <v>409</v>
      </c>
      <c r="B202" s="3"/>
      <c r="C202" s="3"/>
      <c r="D202" s="10" t="s">
        <v>410</v>
      </c>
      <c r="E202" s="10" t="s">
        <v>411</v>
      </c>
      <c r="F202" s="11" t="s">
        <v>12</v>
      </c>
      <c r="G202" s="11">
        <v>1</v>
      </c>
    </row>
    <row r="203" s="72" customFormat="1" customHeight="1" spans="1:7">
      <c r="A203" s="3" t="s">
        <v>412</v>
      </c>
      <c r="B203" s="3"/>
      <c r="C203" s="3"/>
      <c r="D203" s="10" t="s">
        <v>413</v>
      </c>
      <c r="E203" s="10" t="s">
        <v>414</v>
      </c>
      <c r="F203" s="11" t="s">
        <v>23</v>
      </c>
      <c r="G203" s="11">
        <v>5</v>
      </c>
    </row>
    <row r="204" s="72" customFormat="1" customHeight="1" spans="1:7">
      <c r="A204" s="3" t="s">
        <v>415</v>
      </c>
      <c r="B204" s="3"/>
      <c r="C204" s="3"/>
      <c r="D204" s="10" t="s">
        <v>416</v>
      </c>
      <c r="E204" s="10"/>
      <c r="F204" s="11" t="s">
        <v>23</v>
      </c>
      <c r="G204" s="11"/>
    </row>
    <row r="205" s="72" customFormat="1" customHeight="1" spans="1:7">
      <c r="A205" s="3"/>
      <c r="B205" s="3"/>
      <c r="C205" s="3"/>
      <c r="D205" s="10" t="s">
        <v>417</v>
      </c>
      <c r="E205" s="10" t="s">
        <v>397</v>
      </c>
      <c r="F205" s="11" t="s">
        <v>23</v>
      </c>
      <c r="G205" s="11">
        <v>1</v>
      </c>
    </row>
    <row r="206" s="72" customFormat="1" customHeight="1" spans="1:7">
      <c r="A206" s="3"/>
      <c r="B206" s="3"/>
      <c r="C206" s="3"/>
      <c r="D206" s="10" t="s">
        <v>418</v>
      </c>
      <c r="E206" s="10" t="s">
        <v>395</v>
      </c>
      <c r="F206" s="11" t="s">
        <v>23</v>
      </c>
      <c r="G206" s="11">
        <v>1</v>
      </c>
    </row>
    <row r="207" s="72" customFormat="1" customHeight="1" spans="1:7">
      <c r="A207" s="3"/>
      <c r="B207" s="3"/>
      <c r="C207" s="3"/>
      <c r="D207" s="10" t="s">
        <v>419</v>
      </c>
      <c r="E207" s="10" t="s">
        <v>420</v>
      </c>
      <c r="F207" s="11" t="s">
        <v>23</v>
      </c>
      <c r="G207" s="11">
        <v>7</v>
      </c>
    </row>
    <row r="208" s="72" customFormat="1" customHeight="1" spans="1:7">
      <c r="A208" s="3"/>
      <c r="B208" s="3"/>
      <c r="C208" s="3"/>
      <c r="D208" s="10" t="s">
        <v>421</v>
      </c>
      <c r="E208" s="10" t="s">
        <v>422</v>
      </c>
      <c r="F208" s="11" t="s">
        <v>23</v>
      </c>
      <c r="G208" s="11">
        <v>2</v>
      </c>
    </row>
    <row r="209" s="72" customFormat="1" customHeight="1" spans="1:7">
      <c r="A209" s="3"/>
      <c r="B209" s="3"/>
      <c r="C209" s="3"/>
      <c r="D209" s="10" t="s">
        <v>423</v>
      </c>
      <c r="E209" s="10" t="s">
        <v>424</v>
      </c>
      <c r="F209" s="11" t="s">
        <v>23</v>
      </c>
      <c r="G209" s="11">
        <v>1</v>
      </c>
    </row>
    <row r="210" s="72" customFormat="1" customHeight="1" spans="1:7">
      <c r="A210" s="3"/>
      <c r="B210" s="3"/>
      <c r="C210" s="3"/>
      <c r="D210" s="10" t="s">
        <v>425</v>
      </c>
      <c r="E210" s="10" t="s">
        <v>426</v>
      </c>
      <c r="F210" s="11" t="s">
        <v>12</v>
      </c>
      <c r="G210" s="11">
        <v>1</v>
      </c>
    </row>
    <row r="211" s="72" customFormat="1" customHeight="1" spans="1:7">
      <c r="A211" s="3" t="s">
        <v>427</v>
      </c>
      <c r="B211" s="3"/>
      <c r="C211" s="3"/>
      <c r="D211" s="10" t="s">
        <v>428</v>
      </c>
      <c r="E211" s="10" t="s">
        <v>424</v>
      </c>
      <c r="F211" s="11" t="s">
        <v>12</v>
      </c>
      <c r="G211" s="11">
        <v>2</v>
      </c>
    </row>
    <row r="212" s="72" customFormat="1" customHeight="1" spans="1:7">
      <c r="A212" s="3" t="s">
        <v>429</v>
      </c>
      <c r="B212" s="3"/>
      <c r="C212" s="3"/>
      <c r="D212" s="10" t="s">
        <v>430</v>
      </c>
      <c r="E212" s="10" t="s">
        <v>424</v>
      </c>
      <c r="F212" s="11" t="s">
        <v>12</v>
      </c>
      <c r="G212" s="11">
        <v>2</v>
      </c>
    </row>
    <row r="213" s="72" customFormat="1" customHeight="1" spans="1:7">
      <c r="A213" s="3" t="s">
        <v>431</v>
      </c>
      <c r="B213" s="3"/>
      <c r="C213" s="3"/>
      <c r="D213" s="10" t="s">
        <v>432</v>
      </c>
      <c r="E213" s="10" t="s">
        <v>424</v>
      </c>
      <c r="F213" s="11" t="s">
        <v>12</v>
      </c>
      <c r="G213" s="11">
        <v>3</v>
      </c>
    </row>
    <row r="214" s="72" customFormat="1" customHeight="1" spans="1:7">
      <c r="A214" s="3" t="s">
        <v>433</v>
      </c>
      <c r="B214" s="3"/>
      <c r="C214" s="3"/>
      <c r="D214" s="10" t="s">
        <v>434</v>
      </c>
      <c r="E214" s="10"/>
      <c r="F214" s="11" t="s">
        <v>23</v>
      </c>
      <c r="G214" s="11">
        <v>0</v>
      </c>
    </row>
    <row r="215" s="72" customFormat="1" customHeight="1" spans="1:7">
      <c r="A215" s="3" t="s">
        <v>435</v>
      </c>
      <c r="B215" s="3"/>
      <c r="C215" s="3"/>
      <c r="D215" s="10" t="s">
        <v>436</v>
      </c>
      <c r="E215" s="10"/>
      <c r="F215" s="11" t="s">
        <v>23</v>
      </c>
      <c r="G215" s="11">
        <v>1</v>
      </c>
    </row>
    <row r="216" s="72" customFormat="1" customHeight="1" spans="1:7">
      <c r="A216" s="3" t="s">
        <v>437</v>
      </c>
      <c r="B216" s="3"/>
      <c r="C216" s="3"/>
      <c r="D216" s="10" t="s">
        <v>438</v>
      </c>
      <c r="E216" s="10"/>
      <c r="F216" s="11"/>
      <c r="G216" s="11"/>
    </row>
    <row r="217" s="72" customFormat="1" customHeight="1" spans="1:7">
      <c r="A217" s="3" t="s">
        <v>439</v>
      </c>
      <c r="B217" s="3"/>
      <c r="C217" s="3"/>
      <c r="D217" s="10" t="s">
        <v>440</v>
      </c>
      <c r="E217" s="10"/>
      <c r="F217" s="11"/>
      <c r="G217" s="11"/>
    </row>
    <row r="218" s="72" customFormat="1" customHeight="1" spans="1:7">
      <c r="A218" s="3" t="s">
        <v>441</v>
      </c>
      <c r="B218" s="3"/>
      <c r="C218" s="3"/>
      <c r="D218" s="10" t="s">
        <v>442</v>
      </c>
      <c r="E218" s="10" t="s">
        <v>443</v>
      </c>
      <c r="F218" s="11" t="s">
        <v>12</v>
      </c>
      <c r="G218" s="11">
        <v>1</v>
      </c>
    </row>
    <row r="219" s="72" customFormat="1" customHeight="1" spans="1:7">
      <c r="A219" s="3"/>
      <c r="B219" s="3"/>
      <c r="C219" s="3"/>
      <c r="D219" s="10"/>
      <c r="E219" s="10"/>
      <c r="F219" s="11"/>
      <c r="G219" s="11"/>
    </row>
    <row r="220" s="72" customFormat="1" customHeight="1" spans="1:7">
      <c r="A220" s="12"/>
      <c r="B220" s="12"/>
      <c r="C220" s="12"/>
      <c r="D220" s="13" t="s">
        <v>34</v>
      </c>
      <c r="E220" s="13"/>
      <c r="F220" s="14"/>
      <c r="G220" s="14"/>
    </row>
    <row r="221" s="72" customFormat="1" customHeight="1" spans="1:7">
      <c r="A221" s="3"/>
      <c r="B221" s="3"/>
      <c r="C221" s="3"/>
      <c r="D221" s="10"/>
      <c r="E221" s="10"/>
      <c r="F221" s="11"/>
      <c r="G221" s="11"/>
    </row>
    <row r="222" s="72" customFormat="1" customHeight="1" spans="1:7">
      <c r="A222" s="3">
        <v>1.4</v>
      </c>
      <c r="B222" s="3"/>
      <c r="C222" s="3"/>
      <c r="D222" s="7" t="s">
        <v>444</v>
      </c>
      <c r="E222" s="10"/>
      <c r="F222" s="11"/>
      <c r="G222" s="11"/>
    </row>
    <row r="223" s="72" customFormat="1" customHeight="1" spans="1:7">
      <c r="A223" s="3" t="s">
        <v>445</v>
      </c>
      <c r="B223" s="3"/>
      <c r="C223" s="3"/>
      <c r="D223" s="10" t="s">
        <v>446</v>
      </c>
      <c r="E223" s="10" t="s">
        <v>447</v>
      </c>
      <c r="F223" s="11" t="s">
        <v>23</v>
      </c>
      <c r="G223" s="11">
        <v>1</v>
      </c>
    </row>
    <row r="224" s="72" customFormat="1" customHeight="1" spans="1:7">
      <c r="A224" s="3" t="s">
        <v>448</v>
      </c>
      <c r="B224" s="3"/>
      <c r="C224" s="3"/>
      <c r="D224" s="10" t="s">
        <v>449</v>
      </c>
      <c r="E224" s="10" t="s">
        <v>450</v>
      </c>
      <c r="F224" s="11" t="s">
        <v>23</v>
      </c>
      <c r="G224" s="11">
        <v>1</v>
      </c>
    </row>
    <row r="225" s="72" customFormat="1" customHeight="1" spans="1:7">
      <c r="A225" s="3" t="s">
        <v>451</v>
      </c>
      <c r="B225" s="3"/>
      <c r="C225" s="3"/>
      <c r="D225" s="10" t="s">
        <v>452</v>
      </c>
      <c r="E225" s="10" t="s">
        <v>453</v>
      </c>
      <c r="F225" s="11" t="s">
        <v>12</v>
      </c>
      <c r="G225" s="11">
        <v>0</v>
      </c>
    </row>
    <row r="226" s="72" customFormat="1" customHeight="1" spans="1:7">
      <c r="A226" s="3" t="s">
        <v>451</v>
      </c>
      <c r="B226" s="3"/>
      <c r="C226" s="3"/>
      <c r="D226" s="10" t="s">
        <v>454</v>
      </c>
      <c r="E226" s="10" t="s">
        <v>455</v>
      </c>
      <c r="F226" s="11" t="s">
        <v>23</v>
      </c>
      <c r="G226" s="11">
        <v>1</v>
      </c>
    </row>
    <row r="227" s="72" customFormat="1" customHeight="1" spans="1:7">
      <c r="A227" s="3"/>
      <c r="B227" s="3"/>
      <c r="C227" s="3"/>
      <c r="D227" s="10"/>
      <c r="E227" s="10"/>
      <c r="F227" s="11"/>
      <c r="G227" s="11"/>
    </row>
    <row r="228" s="72" customFormat="1" customHeight="1" spans="1:7">
      <c r="A228" s="12"/>
      <c r="B228" s="12"/>
      <c r="C228" s="12"/>
      <c r="D228" s="13" t="s">
        <v>34</v>
      </c>
      <c r="E228" s="13"/>
      <c r="F228" s="14"/>
      <c r="G228" s="14"/>
    </row>
    <row r="229" s="72" customFormat="1" customHeight="1" spans="1:7">
      <c r="A229" s="3">
        <v>1.5</v>
      </c>
      <c r="B229" s="3"/>
      <c r="C229" s="3"/>
      <c r="D229" s="7" t="s">
        <v>456</v>
      </c>
      <c r="E229" s="10"/>
      <c r="F229" s="11"/>
      <c r="G229" s="11"/>
    </row>
    <row r="230" s="72" customFormat="1" customHeight="1" spans="1:7">
      <c r="A230" s="3">
        <v>1.1</v>
      </c>
      <c r="B230" s="3"/>
      <c r="C230" s="3"/>
      <c r="D230" s="7" t="s">
        <v>457</v>
      </c>
      <c r="E230" s="10" t="s">
        <v>458</v>
      </c>
      <c r="F230" s="11" t="s">
        <v>23</v>
      </c>
      <c r="G230" s="11">
        <v>1</v>
      </c>
    </row>
    <row r="231" s="72" customFormat="1" customHeight="1" spans="1:7">
      <c r="A231" s="3"/>
      <c r="B231" s="3"/>
      <c r="C231" s="3"/>
      <c r="D231" s="10" t="s">
        <v>459</v>
      </c>
      <c r="E231" s="10"/>
      <c r="F231" s="11" t="s">
        <v>23</v>
      </c>
      <c r="G231" s="11">
        <v>1</v>
      </c>
    </row>
    <row r="232" s="72" customFormat="1" customHeight="1" spans="1:7">
      <c r="A232" s="3"/>
      <c r="B232" s="3"/>
      <c r="C232" s="3"/>
      <c r="D232" s="10" t="s">
        <v>460</v>
      </c>
      <c r="E232" s="10"/>
      <c r="F232" s="11" t="s">
        <v>23</v>
      </c>
      <c r="G232" s="11">
        <v>3</v>
      </c>
    </row>
    <row r="233" s="72" customFormat="1" customHeight="1" spans="1:7">
      <c r="A233" s="3"/>
      <c r="B233" s="3"/>
      <c r="C233" s="3"/>
      <c r="D233" s="10" t="s">
        <v>461</v>
      </c>
      <c r="E233" s="10" t="s">
        <v>462</v>
      </c>
      <c r="F233" s="11" t="s">
        <v>26</v>
      </c>
      <c r="G233" s="11">
        <v>3</v>
      </c>
    </row>
    <row r="234" s="72" customFormat="1" customHeight="1" spans="1:7">
      <c r="A234" s="3"/>
      <c r="B234" s="3"/>
      <c r="C234" s="3"/>
      <c r="D234" s="10" t="s">
        <v>463</v>
      </c>
      <c r="E234" s="10" t="s">
        <v>464</v>
      </c>
      <c r="F234" s="11" t="s">
        <v>23</v>
      </c>
      <c r="G234" s="11">
        <v>1</v>
      </c>
    </row>
    <row r="235" s="72" customFormat="1" customHeight="1" spans="1:7">
      <c r="A235" s="3"/>
      <c r="B235" s="3"/>
      <c r="C235" s="3"/>
      <c r="D235" s="10" t="s">
        <v>465</v>
      </c>
      <c r="E235" s="10"/>
      <c r="F235" s="11" t="s">
        <v>23</v>
      </c>
      <c r="G235" s="11">
        <v>1</v>
      </c>
    </row>
    <row r="236" s="72" customFormat="1" customHeight="1" spans="1:7">
      <c r="A236" s="3">
        <v>1.2</v>
      </c>
      <c r="B236" s="3"/>
      <c r="C236" s="3"/>
      <c r="D236" s="7" t="s">
        <v>466</v>
      </c>
      <c r="E236" s="10" t="s">
        <v>467</v>
      </c>
      <c r="F236" s="11" t="s">
        <v>23</v>
      </c>
      <c r="G236" s="11">
        <v>1</v>
      </c>
    </row>
    <row r="237" s="72" customFormat="1" customHeight="1" spans="1:7">
      <c r="A237" s="3"/>
      <c r="B237" s="3"/>
      <c r="C237" s="3"/>
      <c r="D237" s="10" t="s">
        <v>468</v>
      </c>
      <c r="E237" s="10"/>
      <c r="F237" s="11" t="s">
        <v>23</v>
      </c>
      <c r="G237" s="11">
        <v>1</v>
      </c>
    </row>
    <row r="238" s="72" customFormat="1" customHeight="1" spans="1:7">
      <c r="A238" s="3"/>
      <c r="B238" s="3"/>
      <c r="C238" s="3"/>
      <c r="D238" s="10" t="s">
        <v>469</v>
      </c>
      <c r="E238" s="10"/>
      <c r="F238" s="11" t="s">
        <v>23</v>
      </c>
      <c r="G238" s="11">
        <v>1</v>
      </c>
    </row>
    <row r="239" s="72" customFormat="1" customHeight="1" spans="1:7">
      <c r="A239" s="3"/>
      <c r="B239" s="3"/>
      <c r="C239" s="3"/>
      <c r="D239" s="10" t="s">
        <v>470</v>
      </c>
      <c r="E239" s="10" t="s">
        <v>471</v>
      </c>
      <c r="F239" s="11" t="s">
        <v>23</v>
      </c>
      <c r="G239" s="11">
        <v>3</v>
      </c>
    </row>
    <row r="240" s="72" customFormat="1" customHeight="1" spans="1:7">
      <c r="A240" s="3"/>
      <c r="B240" s="3"/>
      <c r="C240" s="3"/>
      <c r="D240" s="10" t="s">
        <v>472</v>
      </c>
      <c r="E240" s="10"/>
      <c r="F240" s="11" t="s">
        <v>23</v>
      </c>
      <c r="G240" s="11">
        <v>1</v>
      </c>
    </row>
    <row r="241" s="72" customFormat="1" customHeight="1" spans="1:7">
      <c r="A241" s="3"/>
      <c r="B241" s="3"/>
      <c r="C241" s="3"/>
      <c r="D241" s="10" t="s">
        <v>473</v>
      </c>
      <c r="E241" s="10"/>
      <c r="F241" s="11" t="s">
        <v>23</v>
      </c>
      <c r="G241" s="11">
        <v>1</v>
      </c>
    </row>
    <row r="242" s="72" customFormat="1" customHeight="1" spans="1:7">
      <c r="A242" s="3">
        <v>2</v>
      </c>
      <c r="B242" s="3"/>
      <c r="C242" s="3"/>
      <c r="D242" s="7" t="s">
        <v>474</v>
      </c>
      <c r="E242" s="10"/>
      <c r="F242" s="11" t="s">
        <v>23</v>
      </c>
      <c r="G242" s="11">
        <v>1</v>
      </c>
    </row>
    <row r="243" s="72" customFormat="1" customHeight="1" spans="1:7">
      <c r="A243" s="3"/>
      <c r="B243" s="3"/>
      <c r="C243" s="3"/>
      <c r="D243" s="10" t="s">
        <v>475</v>
      </c>
      <c r="E243" s="10"/>
      <c r="F243" s="11" t="s">
        <v>23</v>
      </c>
      <c r="G243" s="11">
        <v>1</v>
      </c>
    </row>
    <row r="244" s="72" customFormat="1" customHeight="1" spans="1:7">
      <c r="A244" s="3"/>
      <c r="B244" s="3"/>
      <c r="C244" s="3"/>
      <c r="D244" s="10" t="s">
        <v>476</v>
      </c>
      <c r="E244" s="10" t="s">
        <v>477</v>
      </c>
      <c r="F244" s="11" t="s">
        <v>23</v>
      </c>
      <c r="G244" s="11">
        <v>1</v>
      </c>
    </row>
    <row r="245" s="72" customFormat="1" customHeight="1" spans="1:7">
      <c r="A245" s="3"/>
      <c r="B245" s="3"/>
      <c r="C245" s="3"/>
      <c r="D245" s="10" t="s">
        <v>478</v>
      </c>
      <c r="E245" s="10" t="s">
        <v>479</v>
      </c>
      <c r="F245" s="11" t="s">
        <v>23</v>
      </c>
      <c r="G245" s="11">
        <v>1</v>
      </c>
    </row>
    <row r="246" s="72" customFormat="1" customHeight="1" spans="1:7">
      <c r="A246" s="3"/>
      <c r="B246" s="3"/>
      <c r="C246" s="3"/>
      <c r="D246" s="10" t="s">
        <v>480</v>
      </c>
      <c r="E246" s="10"/>
      <c r="F246" s="11" t="s">
        <v>23</v>
      </c>
      <c r="G246" s="11">
        <v>1</v>
      </c>
    </row>
    <row r="247" s="72" customFormat="1" customHeight="1" spans="1:7">
      <c r="A247" s="3"/>
      <c r="B247" s="3"/>
      <c r="C247" s="3"/>
      <c r="D247" s="10" t="s">
        <v>473</v>
      </c>
      <c r="E247" s="10"/>
      <c r="F247" s="11" t="s">
        <v>23</v>
      </c>
      <c r="G247" s="11">
        <v>1</v>
      </c>
    </row>
    <row r="248" s="72" customFormat="1" customHeight="1" spans="1:7">
      <c r="A248" s="3">
        <v>3</v>
      </c>
      <c r="B248" s="3"/>
      <c r="C248" s="3"/>
      <c r="D248" s="7" t="s">
        <v>481</v>
      </c>
      <c r="E248" s="10"/>
      <c r="F248" s="11" t="s">
        <v>23</v>
      </c>
      <c r="G248" s="11">
        <v>1</v>
      </c>
    </row>
    <row r="249" s="72" customFormat="1" customHeight="1" spans="1:7">
      <c r="A249" s="3"/>
      <c r="B249" s="3"/>
      <c r="C249" s="3"/>
      <c r="D249" s="10" t="s">
        <v>482</v>
      </c>
      <c r="E249" s="10"/>
      <c r="F249" s="11" t="s">
        <v>23</v>
      </c>
      <c r="G249" s="11">
        <v>1</v>
      </c>
    </row>
    <row r="250" s="72" customFormat="1" customHeight="1" spans="1:7">
      <c r="A250" s="3"/>
      <c r="B250" s="3"/>
      <c r="C250" s="3"/>
      <c r="D250" s="10" t="s">
        <v>483</v>
      </c>
      <c r="E250" s="10" t="s">
        <v>484</v>
      </c>
      <c r="F250" s="11" t="s">
        <v>23</v>
      </c>
      <c r="G250" s="11">
        <v>6</v>
      </c>
    </row>
    <row r="251" s="72" customFormat="1" customHeight="1" spans="1:7">
      <c r="A251" s="3"/>
      <c r="B251" s="3"/>
      <c r="C251" s="3"/>
      <c r="D251" s="10" t="s">
        <v>485</v>
      </c>
      <c r="E251" s="10" t="s">
        <v>486</v>
      </c>
      <c r="F251" s="11" t="s">
        <v>23</v>
      </c>
      <c r="G251" s="11">
        <v>12</v>
      </c>
    </row>
    <row r="252" s="72" customFormat="1" customHeight="1" spans="1:7">
      <c r="A252" s="3"/>
      <c r="B252" s="3"/>
      <c r="C252" s="3"/>
      <c r="D252" s="10" t="s">
        <v>487</v>
      </c>
      <c r="E252" s="10" t="s">
        <v>488</v>
      </c>
      <c r="F252" s="11" t="s">
        <v>23</v>
      </c>
      <c r="G252" s="11">
        <v>1</v>
      </c>
    </row>
    <row r="253" s="72" customFormat="1" customHeight="1" spans="1:7">
      <c r="A253" s="3"/>
      <c r="B253" s="3"/>
      <c r="C253" s="3"/>
      <c r="D253" s="10" t="s">
        <v>489</v>
      </c>
      <c r="E253" s="10" t="s">
        <v>464</v>
      </c>
      <c r="F253" s="11" t="s">
        <v>23</v>
      </c>
      <c r="G253" s="11">
        <v>1</v>
      </c>
    </row>
    <row r="254" s="72" customFormat="1" customHeight="1" spans="1:7">
      <c r="A254" s="3"/>
      <c r="B254" s="3"/>
      <c r="C254" s="3"/>
      <c r="D254" s="10" t="s">
        <v>490</v>
      </c>
      <c r="E254" s="10" t="s">
        <v>488</v>
      </c>
      <c r="F254" s="11" t="s">
        <v>23</v>
      </c>
      <c r="G254" s="11">
        <v>1</v>
      </c>
    </row>
    <row r="255" s="72" customFormat="1" customHeight="1" spans="1:7">
      <c r="A255" s="3">
        <v>4</v>
      </c>
      <c r="B255" s="3"/>
      <c r="C255" s="3"/>
      <c r="D255" s="7" t="s">
        <v>491</v>
      </c>
      <c r="E255" s="10"/>
      <c r="F255" s="11" t="s">
        <v>23</v>
      </c>
      <c r="G255" s="11">
        <v>2</v>
      </c>
    </row>
    <row r="256" s="72" customFormat="1" customHeight="1" spans="1:7">
      <c r="A256" s="3"/>
      <c r="B256" s="3"/>
      <c r="C256" s="3"/>
      <c r="D256" s="10" t="s">
        <v>492</v>
      </c>
      <c r="E256" s="10"/>
      <c r="F256" s="11" t="s">
        <v>23</v>
      </c>
      <c r="G256" s="11">
        <v>2</v>
      </c>
    </row>
    <row r="257" s="72" customFormat="1" customHeight="1" spans="1:7">
      <c r="A257" s="3"/>
      <c r="B257" s="3"/>
      <c r="C257" s="3"/>
      <c r="D257" s="10" t="s">
        <v>493</v>
      </c>
      <c r="E257" s="10"/>
      <c r="F257" s="11" t="s">
        <v>23</v>
      </c>
      <c r="G257" s="11">
        <v>2</v>
      </c>
    </row>
    <row r="258" s="72" customFormat="1" customHeight="1" spans="1:7">
      <c r="A258" s="3"/>
      <c r="B258" s="3"/>
      <c r="C258" s="3"/>
      <c r="D258" s="10" t="s">
        <v>494</v>
      </c>
      <c r="E258" s="10"/>
      <c r="F258" s="11" t="s">
        <v>23</v>
      </c>
      <c r="G258" s="11">
        <v>2</v>
      </c>
    </row>
    <row r="259" s="72" customFormat="1" customHeight="1" spans="1:7">
      <c r="A259" s="3">
        <v>5</v>
      </c>
      <c r="B259" s="3"/>
      <c r="C259" s="3"/>
      <c r="D259" s="7" t="s">
        <v>495</v>
      </c>
      <c r="E259" s="10"/>
      <c r="F259" s="11" t="s">
        <v>23</v>
      </c>
      <c r="G259" s="11">
        <v>2</v>
      </c>
    </row>
    <row r="260" s="72" customFormat="1" customHeight="1" spans="1:7">
      <c r="A260" s="3"/>
      <c r="B260" s="3"/>
      <c r="C260" s="3"/>
      <c r="D260" s="10" t="s">
        <v>496</v>
      </c>
      <c r="E260" s="10"/>
      <c r="F260" s="11" t="s">
        <v>23</v>
      </c>
      <c r="G260" s="11">
        <v>2</v>
      </c>
    </row>
    <row r="261" s="72" customFormat="1" customHeight="1" spans="1:7">
      <c r="A261" s="3"/>
      <c r="B261" s="3"/>
      <c r="C261" s="3"/>
      <c r="D261" s="10" t="s">
        <v>497</v>
      </c>
      <c r="E261" s="10" t="s">
        <v>498</v>
      </c>
      <c r="F261" s="11" t="s">
        <v>23</v>
      </c>
      <c r="G261" s="11">
        <v>2</v>
      </c>
    </row>
    <row r="262" s="72" customFormat="1" customHeight="1" spans="1:7">
      <c r="A262" s="3"/>
      <c r="B262" s="3"/>
      <c r="C262" s="3"/>
      <c r="D262" s="10" t="s">
        <v>473</v>
      </c>
      <c r="E262" s="10"/>
      <c r="F262" s="11" t="s">
        <v>23</v>
      </c>
      <c r="G262" s="11">
        <v>2</v>
      </c>
    </row>
    <row r="263" s="72" customFormat="1" customHeight="1" spans="1:7">
      <c r="A263" s="3">
        <v>6</v>
      </c>
      <c r="B263" s="3"/>
      <c r="C263" s="3"/>
      <c r="D263" s="7" t="s">
        <v>499</v>
      </c>
      <c r="E263" s="10"/>
      <c r="F263" s="11" t="s">
        <v>23</v>
      </c>
      <c r="G263" s="11">
        <v>1</v>
      </c>
    </row>
    <row r="264" s="72" customFormat="1" customHeight="1" spans="1:7">
      <c r="A264" s="3"/>
      <c r="B264" s="3"/>
      <c r="C264" s="3"/>
      <c r="D264" s="10" t="s">
        <v>500</v>
      </c>
      <c r="E264" s="10"/>
      <c r="F264" s="11" t="s">
        <v>23</v>
      </c>
      <c r="G264" s="11">
        <v>1</v>
      </c>
    </row>
    <row r="265" s="72" customFormat="1" customHeight="1" spans="1:7">
      <c r="A265" s="3"/>
      <c r="B265" s="3"/>
      <c r="C265" s="3"/>
      <c r="D265" s="10" t="s">
        <v>501</v>
      </c>
      <c r="E265" s="10"/>
      <c r="F265" s="11" t="s">
        <v>23</v>
      </c>
      <c r="G265" s="11">
        <v>1</v>
      </c>
    </row>
    <row r="266" s="72" customFormat="1" customHeight="1" spans="1:7">
      <c r="A266" s="3"/>
      <c r="B266" s="3"/>
      <c r="C266" s="3"/>
      <c r="D266" s="10" t="s">
        <v>502</v>
      </c>
      <c r="E266" s="10"/>
      <c r="F266" s="11" t="s">
        <v>26</v>
      </c>
      <c r="G266" s="11">
        <v>1</v>
      </c>
    </row>
    <row r="267" s="72" customFormat="1" customHeight="1" spans="1:7">
      <c r="A267" s="3"/>
      <c r="B267" s="3"/>
      <c r="C267" s="3"/>
      <c r="D267" s="10" t="s">
        <v>503</v>
      </c>
      <c r="E267" s="10"/>
      <c r="F267" s="11" t="s">
        <v>23</v>
      </c>
      <c r="G267" s="11">
        <v>1</v>
      </c>
    </row>
    <row r="268" s="72" customFormat="1" customHeight="1" spans="1:7">
      <c r="A268" s="3">
        <v>7</v>
      </c>
      <c r="B268" s="3"/>
      <c r="C268" s="3"/>
      <c r="D268" s="7" t="s">
        <v>504</v>
      </c>
      <c r="E268" s="10" t="s">
        <v>505</v>
      </c>
      <c r="F268" s="11" t="s">
        <v>23</v>
      </c>
      <c r="G268" s="11">
        <v>1</v>
      </c>
    </row>
    <row r="269" s="72" customFormat="1" customHeight="1" spans="1:7">
      <c r="A269" s="3"/>
      <c r="B269" s="3"/>
      <c r="C269" s="3"/>
      <c r="D269" s="10" t="s">
        <v>506</v>
      </c>
      <c r="E269" s="10"/>
      <c r="F269" s="11" t="s">
        <v>23</v>
      </c>
      <c r="G269" s="11">
        <v>3</v>
      </c>
    </row>
    <row r="270" s="72" customFormat="1" customHeight="1" spans="1:7">
      <c r="A270" s="3"/>
      <c r="B270" s="3"/>
      <c r="C270" s="3"/>
      <c r="D270" s="10" t="s">
        <v>507</v>
      </c>
      <c r="E270" s="10"/>
      <c r="F270" s="11" t="s">
        <v>23</v>
      </c>
      <c r="G270" s="11">
        <v>4</v>
      </c>
    </row>
    <row r="271" s="72" customFormat="1" customHeight="1" spans="1:7">
      <c r="A271" s="3"/>
      <c r="B271" s="3"/>
      <c r="C271" s="3"/>
      <c r="D271" s="10" t="s">
        <v>508</v>
      </c>
      <c r="E271" s="10"/>
      <c r="F271" s="11" t="s">
        <v>23</v>
      </c>
      <c r="G271" s="11">
        <v>2</v>
      </c>
    </row>
    <row r="272" s="72" customFormat="1" customHeight="1" spans="1:7">
      <c r="A272" s="3"/>
      <c r="B272" s="3"/>
      <c r="C272" s="3"/>
      <c r="D272" s="10" t="s">
        <v>509</v>
      </c>
      <c r="E272" s="10"/>
      <c r="F272" s="11" t="s">
        <v>23</v>
      </c>
      <c r="G272" s="11">
        <v>1</v>
      </c>
    </row>
    <row r="273" s="72" customFormat="1" customHeight="1" spans="1:7">
      <c r="A273" s="3"/>
      <c r="B273" s="3"/>
      <c r="C273" s="3"/>
      <c r="D273" s="10" t="s">
        <v>510</v>
      </c>
      <c r="E273" s="10" t="s">
        <v>511</v>
      </c>
      <c r="F273" s="11" t="s">
        <v>23</v>
      </c>
      <c r="G273" s="11">
        <v>1</v>
      </c>
    </row>
    <row r="274" s="72" customFormat="1" customHeight="1" spans="1:7">
      <c r="A274" s="3"/>
      <c r="B274" s="3"/>
      <c r="C274" s="3"/>
      <c r="D274" s="10" t="s">
        <v>512</v>
      </c>
      <c r="E274" s="10" t="s">
        <v>513</v>
      </c>
      <c r="F274" s="11" t="s">
        <v>23</v>
      </c>
      <c r="G274" s="11">
        <v>1</v>
      </c>
    </row>
    <row r="275" s="72" customFormat="1" customHeight="1" spans="1:7">
      <c r="A275" s="3"/>
      <c r="B275" s="3"/>
      <c r="C275" s="3"/>
      <c r="D275" s="10" t="s">
        <v>514</v>
      </c>
      <c r="E275" s="10"/>
      <c r="F275" s="11" t="s">
        <v>23</v>
      </c>
      <c r="G275" s="11">
        <v>1</v>
      </c>
    </row>
    <row r="276" s="72" customFormat="1" customHeight="1" spans="1:7">
      <c r="A276" s="3"/>
      <c r="B276" s="3"/>
      <c r="C276" s="3"/>
      <c r="D276" s="10" t="s">
        <v>515</v>
      </c>
      <c r="E276" s="10"/>
      <c r="F276" s="11" t="s">
        <v>23</v>
      </c>
      <c r="G276" s="11">
        <v>1</v>
      </c>
    </row>
    <row r="277" s="72" customFormat="1" customHeight="1" spans="1:7">
      <c r="A277" s="3"/>
      <c r="B277" s="3"/>
      <c r="C277" s="3"/>
      <c r="D277" s="10" t="s">
        <v>516</v>
      </c>
      <c r="E277" s="10"/>
      <c r="F277" s="11" t="s">
        <v>23</v>
      </c>
      <c r="G277" s="11">
        <v>1</v>
      </c>
    </row>
    <row r="278" s="72" customFormat="1" customHeight="1" spans="1:7">
      <c r="A278" s="3"/>
      <c r="B278" s="3"/>
      <c r="C278" s="3"/>
      <c r="D278" s="10" t="s">
        <v>517</v>
      </c>
      <c r="E278" s="10"/>
      <c r="F278" s="11" t="s">
        <v>23</v>
      </c>
      <c r="G278" s="11">
        <v>1</v>
      </c>
    </row>
    <row r="279" s="72" customFormat="1" customHeight="1" spans="1:7">
      <c r="A279" s="3">
        <v>8</v>
      </c>
      <c r="B279" s="3"/>
      <c r="C279" s="3"/>
      <c r="D279" s="7" t="s">
        <v>518</v>
      </c>
      <c r="E279" s="10"/>
      <c r="F279" s="11" t="s">
        <v>23</v>
      </c>
      <c r="G279" s="11">
        <v>2</v>
      </c>
    </row>
    <row r="280" s="72" customFormat="1" customHeight="1" spans="1:7">
      <c r="A280" s="3"/>
      <c r="B280" s="3"/>
      <c r="C280" s="3"/>
      <c r="D280" s="10" t="s">
        <v>519</v>
      </c>
      <c r="E280" s="10"/>
      <c r="F280" s="11" t="s">
        <v>23</v>
      </c>
      <c r="G280" s="11">
        <v>2</v>
      </c>
    </row>
    <row r="281" s="72" customFormat="1" customHeight="1" spans="1:7">
      <c r="A281" s="3"/>
      <c r="B281" s="3"/>
      <c r="C281" s="3"/>
      <c r="D281" s="10" t="s">
        <v>520</v>
      </c>
      <c r="E281" s="10"/>
      <c r="F281" s="11" t="s">
        <v>23</v>
      </c>
      <c r="G281" s="11">
        <v>2</v>
      </c>
    </row>
    <row r="282" s="72" customFormat="1" customHeight="1" spans="1:7">
      <c r="A282" s="3">
        <v>9</v>
      </c>
      <c r="B282" s="3"/>
      <c r="C282" s="3"/>
      <c r="D282" s="7" t="s">
        <v>521</v>
      </c>
      <c r="E282" s="10"/>
      <c r="F282" s="11" t="s">
        <v>23</v>
      </c>
      <c r="G282" s="11">
        <v>2</v>
      </c>
    </row>
    <row r="283" s="72" customFormat="1" customHeight="1" spans="1:7">
      <c r="A283" s="3"/>
      <c r="B283" s="3"/>
      <c r="C283" s="3"/>
      <c r="D283" s="10" t="s">
        <v>522</v>
      </c>
      <c r="E283" s="10"/>
      <c r="F283" s="11" t="s">
        <v>23</v>
      </c>
      <c r="G283" s="11">
        <v>2</v>
      </c>
    </row>
    <row r="284" s="72" customFormat="1" customHeight="1" spans="1:7">
      <c r="A284" s="3"/>
      <c r="B284" s="3"/>
      <c r="C284" s="3"/>
      <c r="D284" s="10" t="s">
        <v>523</v>
      </c>
      <c r="E284" s="10"/>
      <c r="F284" s="11" t="s">
        <v>23</v>
      </c>
      <c r="G284" s="11">
        <v>4</v>
      </c>
    </row>
    <row r="285" s="72" customFormat="1" customHeight="1" spans="1:7">
      <c r="A285" s="3"/>
      <c r="B285" s="3"/>
      <c r="C285" s="3"/>
      <c r="D285" s="10" t="s">
        <v>524</v>
      </c>
      <c r="E285" s="10"/>
      <c r="F285" s="11" t="s">
        <v>23</v>
      </c>
      <c r="G285" s="11">
        <v>4</v>
      </c>
    </row>
    <row r="286" s="72" customFormat="1" customHeight="1" spans="1:7">
      <c r="A286" s="3"/>
      <c r="B286" s="3"/>
      <c r="C286" s="3"/>
      <c r="D286" s="10" t="s">
        <v>525</v>
      </c>
      <c r="E286" s="10"/>
      <c r="F286" s="11" t="s">
        <v>23</v>
      </c>
      <c r="G286" s="11">
        <v>2</v>
      </c>
    </row>
    <row r="287" s="72" customFormat="1" customHeight="1" spans="1:7">
      <c r="A287" s="3"/>
      <c r="B287" s="3"/>
      <c r="C287" s="3"/>
      <c r="D287" s="10" t="s">
        <v>526</v>
      </c>
      <c r="E287" s="10"/>
      <c r="F287" s="11" t="s">
        <v>23</v>
      </c>
      <c r="G287" s="11">
        <v>2</v>
      </c>
    </row>
    <row r="288" s="72" customFormat="1" customHeight="1" spans="1:7">
      <c r="A288" s="3"/>
      <c r="B288" s="3"/>
      <c r="C288" s="3"/>
      <c r="D288" s="10" t="s">
        <v>527</v>
      </c>
      <c r="E288" s="10" t="s">
        <v>528</v>
      </c>
      <c r="F288" s="11" t="s">
        <v>23</v>
      </c>
      <c r="G288" s="11">
        <v>2</v>
      </c>
    </row>
    <row r="289" s="72" customFormat="1" customHeight="1" spans="1:7">
      <c r="A289" s="3"/>
      <c r="B289" s="3"/>
      <c r="C289" s="3"/>
      <c r="D289" s="10" t="s">
        <v>529</v>
      </c>
      <c r="E289" s="10" t="s">
        <v>530</v>
      </c>
      <c r="F289" s="11" t="s">
        <v>23</v>
      </c>
      <c r="G289" s="11">
        <v>1</v>
      </c>
    </row>
    <row r="290" s="72" customFormat="1" customHeight="1" spans="1:7">
      <c r="A290" s="3"/>
      <c r="B290" s="3"/>
      <c r="C290" s="3"/>
      <c r="D290" s="10" t="s">
        <v>531</v>
      </c>
      <c r="E290" s="10" t="s">
        <v>532</v>
      </c>
      <c r="F290" s="11" t="s">
        <v>23</v>
      </c>
      <c r="G290" s="11">
        <v>1</v>
      </c>
    </row>
    <row r="291" s="72" customFormat="1" customHeight="1" spans="1:7">
      <c r="A291" s="3"/>
      <c r="B291" s="3"/>
      <c r="C291" s="3"/>
      <c r="D291" s="10" t="s">
        <v>533</v>
      </c>
      <c r="E291" s="10" t="s">
        <v>534</v>
      </c>
      <c r="F291" s="11" t="s">
        <v>23</v>
      </c>
      <c r="G291" s="11">
        <v>1</v>
      </c>
    </row>
    <row r="292" s="72" customFormat="1" customHeight="1" spans="1:7">
      <c r="A292" s="3"/>
      <c r="B292" s="3"/>
      <c r="C292" s="3"/>
      <c r="D292" s="10" t="s">
        <v>535</v>
      </c>
      <c r="E292" s="10" t="s">
        <v>536</v>
      </c>
      <c r="F292" s="11" t="s">
        <v>23</v>
      </c>
      <c r="G292" s="11">
        <v>1</v>
      </c>
    </row>
    <row r="293" s="72" customFormat="1" customHeight="1" spans="1:7">
      <c r="A293" s="3">
        <v>10</v>
      </c>
      <c r="B293" s="3"/>
      <c r="C293" s="3"/>
      <c r="D293" s="7" t="s">
        <v>537</v>
      </c>
      <c r="E293" s="10"/>
      <c r="F293" s="11" t="s">
        <v>23</v>
      </c>
      <c r="G293" s="11">
        <v>1</v>
      </c>
    </row>
    <row r="294" s="72" customFormat="1" customHeight="1" spans="1:7">
      <c r="A294" s="3"/>
      <c r="B294" s="3"/>
      <c r="C294" s="3"/>
      <c r="D294" s="10" t="s">
        <v>538</v>
      </c>
      <c r="E294" s="10"/>
      <c r="F294" s="11" t="s">
        <v>23</v>
      </c>
      <c r="G294" s="11">
        <v>1</v>
      </c>
    </row>
    <row r="295" s="72" customFormat="1" customHeight="1" spans="1:7">
      <c r="A295" s="3"/>
      <c r="B295" s="3"/>
      <c r="C295" s="3"/>
      <c r="D295" s="10" t="s">
        <v>539</v>
      </c>
      <c r="E295" s="10"/>
      <c r="F295" s="11" t="s">
        <v>23</v>
      </c>
      <c r="G295" s="11">
        <v>1</v>
      </c>
    </row>
    <row r="296" s="72" customFormat="1" customHeight="1" spans="1:7">
      <c r="A296" s="3"/>
      <c r="B296" s="3"/>
      <c r="C296" s="3"/>
      <c r="D296" s="10" t="s">
        <v>540</v>
      </c>
      <c r="E296" s="10"/>
      <c r="F296" s="11" t="s">
        <v>23</v>
      </c>
      <c r="G296" s="11">
        <v>1</v>
      </c>
    </row>
    <row r="297" s="72" customFormat="1" customHeight="1" spans="1:7">
      <c r="A297" s="3">
        <v>11</v>
      </c>
      <c r="B297" s="3"/>
      <c r="C297" s="3"/>
      <c r="D297" s="7" t="s">
        <v>541</v>
      </c>
      <c r="E297" s="10"/>
      <c r="F297" s="11" t="s">
        <v>23</v>
      </c>
      <c r="G297" s="11">
        <v>1</v>
      </c>
    </row>
    <row r="298" s="72" customFormat="1" customHeight="1" spans="1:7">
      <c r="A298" s="3"/>
      <c r="B298" s="3"/>
      <c r="C298" s="3"/>
      <c r="D298" s="10" t="s">
        <v>542</v>
      </c>
      <c r="E298" s="10"/>
      <c r="F298" s="11" t="s">
        <v>23</v>
      </c>
      <c r="G298" s="11">
        <v>1</v>
      </c>
    </row>
    <row r="299" s="72" customFormat="1" customHeight="1" spans="1:7">
      <c r="A299" s="3"/>
      <c r="B299" s="3"/>
      <c r="C299" s="3"/>
      <c r="D299" s="10" t="s">
        <v>543</v>
      </c>
      <c r="E299" s="10"/>
      <c r="F299" s="11" t="s">
        <v>23</v>
      </c>
      <c r="G299" s="11">
        <v>1</v>
      </c>
    </row>
    <row r="300" s="72" customFormat="1" customHeight="1" spans="1:7">
      <c r="A300" s="3">
        <v>12</v>
      </c>
      <c r="B300" s="3"/>
      <c r="C300" s="3"/>
      <c r="D300" s="7" t="s">
        <v>544</v>
      </c>
      <c r="E300" s="10" t="s">
        <v>545</v>
      </c>
      <c r="F300" s="11" t="s">
        <v>12</v>
      </c>
      <c r="G300" s="11">
        <v>2</v>
      </c>
    </row>
    <row r="301" s="72" customFormat="1" customHeight="1" spans="1:7">
      <c r="A301" s="3"/>
      <c r="B301" s="3"/>
      <c r="C301" s="3"/>
      <c r="D301" s="10" t="s">
        <v>546</v>
      </c>
      <c r="E301" s="10" t="s">
        <v>547</v>
      </c>
      <c r="F301" s="11" t="s">
        <v>23</v>
      </c>
      <c r="G301" s="11">
        <v>2</v>
      </c>
    </row>
    <row r="302" s="72" customFormat="1" customHeight="1" spans="1:7">
      <c r="A302" s="3"/>
      <c r="B302" s="3"/>
      <c r="C302" s="3"/>
      <c r="D302" s="10" t="s">
        <v>548</v>
      </c>
      <c r="E302" s="10"/>
      <c r="F302" s="11" t="s">
        <v>23</v>
      </c>
      <c r="G302" s="11">
        <v>2</v>
      </c>
    </row>
    <row r="303" s="72" customFormat="1" customHeight="1" spans="1:7">
      <c r="A303" s="3"/>
      <c r="B303" s="3"/>
      <c r="C303" s="3"/>
      <c r="D303" s="10" t="s">
        <v>549</v>
      </c>
      <c r="E303" s="10"/>
      <c r="F303" s="11" t="s">
        <v>23</v>
      </c>
      <c r="G303" s="11">
        <v>2</v>
      </c>
    </row>
    <row r="304" s="72" customFormat="1" customHeight="1" spans="1:7">
      <c r="A304" s="3"/>
      <c r="B304" s="3"/>
      <c r="C304" s="3"/>
      <c r="D304" s="10" t="s">
        <v>550</v>
      </c>
      <c r="E304" s="10"/>
      <c r="F304" s="11" t="s">
        <v>23</v>
      </c>
      <c r="G304" s="11">
        <v>2</v>
      </c>
    </row>
    <row r="305" s="72" customFormat="1" customHeight="1" spans="1:7">
      <c r="A305" s="3"/>
      <c r="B305" s="3"/>
      <c r="C305" s="3"/>
      <c r="D305" s="10" t="s">
        <v>77</v>
      </c>
      <c r="E305" s="10"/>
      <c r="F305" s="11" t="s">
        <v>23</v>
      </c>
      <c r="G305" s="11">
        <v>2</v>
      </c>
    </row>
    <row r="306" s="72" customFormat="1" customHeight="1" spans="1:7">
      <c r="A306" s="3">
        <v>13</v>
      </c>
      <c r="B306" s="3"/>
      <c r="C306" s="3"/>
      <c r="D306" s="7" t="s">
        <v>551</v>
      </c>
      <c r="E306" s="10"/>
      <c r="F306" s="11" t="s">
        <v>23</v>
      </c>
      <c r="G306" s="11">
        <v>2</v>
      </c>
    </row>
    <row r="307" s="72" customFormat="1" customHeight="1" spans="1:7">
      <c r="A307" s="3"/>
      <c r="B307" s="3"/>
      <c r="C307" s="3"/>
      <c r="D307" s="10" t="s">
        <v>552</v>
      </c>
      <c r="E307" s="10"/>
      <c r="F307" s="11" t="s">
        <v>23</v>
      </c>
      <c r="G307" s="11">
        <v>2</v>
      </c>
    </row>
    <row r="308" s="72" customFormat="1" customHeight="1" spans="1:7">
      <c r="A308" s="3"/>
      <c r="B308" s="3"/>
      <c r="C308" s="3"/>
      <c r="D308" s="10" t="s">
        <v>553</v>
      </c>
      <c r="E308" s="10"/>
      <c r="F308" s="11" t="s">
        <v>23</v>
      </c>
      <c r="G308" s="11">
        <v>2</v>
      </c>
    </row>
    <row r="309" s="72" customFormat="1" customHeight="1" spans="1:7">
      <c r="A309" s="3"/>
      <c r="B309" s="3"/>
      <c r="C309" s="3"/>
      <c r="D309" s="10" t="s">
        <v>554</v>
      </c>
      <c r="E309" s="10"/>
      <c r="F309" s="11" t="s">
        <v>23</v>
      </c>
      <c r="G309" s="11">
        <v>2</v>
      </c>
    </row>
    <row r="310" s="72" customFormat="1" customHeight="1" spans="1:7">
      <c r="A310" s="3"/>
      <c r="B310" s="3"/>
      <c r="C310" s="3"/>
      <c r="D310" s="10" t="s">
        <v>555</v>
      </c>
      <c r="E310" s="10"/>
      <c r="F310" s="11" t="s">
        <v>23</v>
      </c>
      <c r="G310" s="11">
        <v>2</v>
      </c>
    </row>
    <row r="311" s="72" customFormat="1" customHeight="1" spans="1:7">
      <c r="A311" s="3"/>
      <c r="B311" s="3"/>
      <c r="C311" s="3"/>
      <c r="D311" s="10" t="s">
        <v>556</v>
      </c>
      <c r="E311" s="10"/>
      <c r="F311" s="11" t="s">
        <v>23</v>
      </c>
      <c r="G311" s="11">
        <v>2</v>
      </c>
    </row>
    <row r="312" s="72" customFormat="1" customHeight="1" spans="1:7">
      <c r="A312" s="3"/>
      <c r="B312" s="3"/>
      <c r="C312" s="3"/>
      <c r="D312" s="10" t="s">
        <v>557</v>
      </c>
      <c r="E312" s="10"/>
      <c r="F312" s="11" t="s">
        <v>23</v>
      </c>
      <c r="G312" s="11">
        <v>2</v>
      </c>
    </row>
    <row r="313" s="72" customFormat="1" customHeight="1" spans="1:7">
      <c r="A313" s="3"/>
      <c r="B313" s="3"/>
      <c r="C313" s="3"/>
      <c r="D313" s="10" t="s">
        <v>558</v>
      </c>
      <c r="E313" s="10"/>
      <c r="F313" s="11" t="s">
        <v>23</v>
      </c>
      <c r="G313" s="11">
        <v>2</v>
      </c>
    </row>
    <row r="314" s="72" customFormat="1" customHeight="1" spans="1:7">
      <c r="A314" s="3"/>
      <c r="B314" s="3"/>
      <c r="C314" s="3"/>
      <c r="D314" s="10" t="s">
        <v>559</v>
      </c>
      <c r="E314" s="10"/>
      <c r="F314" s="11" t="s">
        <v>23</v>
      </c>
      <c r="G314" s="11">
        <v>2</v>
      </c>
    </row>
    <row r="315" s="72" customFormat="1" customHeight="1" spans="1:7">
      <c r="A315" s="3"/>
      <c r="B315" s="3"/>
      <c r="C315" s="3"/>
      <c r="D315" s="10" t="s">
        <v>560</v>
      </c>
      <c r="E315" s="10"/>
      <c r="F315" s="11" t="s">
        <v>23</v>
      </c>
      <c r="G315" s="11">
        <v>2</v>
      </c>
    </row>
    <row r="316" s="72" customFormat="1" customHeight="1" spans="1:7">
      <c r="A316" s="3">
        <v>14</v>
      </c>
      <c r="B316" s="3"/>
      <c r="C316" s="3"/>
      <c r="D316" s="7" t="s">
        <v>561</v>
      </c>
      <c r="E316" s="10"/>
      <c r="F316" s="11" t="s">
        <v>23</v>
      </c>
      <c r="G316" s="11">
        <v>2</v>
      </c>
    </row>
    <row r="317" s="72" customFormat="1" customHeight="1" spans="1:7">
      <c r="A317" s="3">
        <v>15</v>
      </c>
      <c r="B317" s="3"/>
      <c r="C317" s="3"/>
      <c r="D317" s="7" t="s">
        <v>562</v>
      </c>
      <c r="E317" s="10"/>
      <c r="F317" s="11" t="s">
        <v>23</v>
      </c>
      <c r="G317" s="11">
        <v>2</v>
      </c>
    </row>
    <row r="318" s="72" customFormat="1" customHeight="1" spans="1:7">
      <c r="A318" s="3"/>
      <c r="B318" s="3"/>
      <c r="C318" s="3"/>
      <c r="D318" s="10" t="s">
        <v>563</v>
      </c>
      <c r="E318" s="10"/>
      <c r="F318" s="11" t="s">
        <v>23</v>
      </c>
      <c r="G318" s="11">
        <v>2</v>
      </c>
    </row>
    <row r="319" s="72" customFormat="1" customHeight="1" spans="1:7">
      <c r="A319" s="3"/>
      <c r="B319" s="3"/>
      <c r="C319" s="3"/>
      <c r="D319" s="10" t="s">
        <v>564</v>
      </c>
      <c r="E319" s="10"/>
      <c r="F319" s="11" t="s">
        <v>23</v>
      </c>
      <c r="G319" s="11">
        <v>2</v>
      </c>
    </row>
    <row r="320" s="72" customFormat="1" customHeight="1" spans="1:7">
      <c r="A320" s="3"/>
      <c r="B320" s="3"/>
      <c r="C320" s="3"/>
      <c r="D320" s="10" t="s">
        <v>565</v>
      </c>
      <c r="E320" s="10"/>
      <c r="F320" s="11" t="s">
        <v>23</v>
      </c>
      <c r="G320" s="11">
        <v>2</v>
      </c>
    </row>
    <row r="321" s="72" customFormat="1" customHeight="1" spans="1:7">
      <c r="A321" s="3">
        <v>16</v>
      </c>
      <c r="B321" s="3"/>
      <c r="C321" s="3"/>
      <c r="D321" s="7" t="s">
        <v>566</v>
      </c>
      <c r="E321" s="10"/>
      <c r="F321" s="11" t="s">
        <v>23</v>
      </c>
      <c r="G321" s="11">
        <v>2</v>
      </c>
    </row>
    <row r="322" s="72" customFormat="1" customHeight="1" spans="1:7">
      <c r="A322" s="3"/>
      <c r="B322" s="3"/>
      <c r="C322" s="3"/>
      <c r="D322" s="10" t="s">
        <v>567</v>
      </c>
      <c r="E322" s="10"/>
      <c r="F322" s="11" t="s">
        <v>23</v>
      </c>
      <c r="G322" s="11">
        <v>2</v>
      </c>
    </row>
    <row r="323" s="72" customFormat="1" customHeight="1" spans="1:7">
      <c r="A323" s="3"/>
      <c r="B323" s="3"/>
      <c r="C323" s="3"/>
      <c r="D323" s="10" t="s">
        <v>568</v>
      </c>
      <c r="E323" s="10"/>
      <c r="F323" s="11" t="s">
        <v>23</v>
      </c>
      <c r="G323" s="11">
        <v>2</v>
      </c>
    </row>
    <row r="324" s="72" customFormat="1" customHeight="1" spans="1:7">
      <c r="A324" s="3">
        <v>17</v>
      </c>
      <c r="B324" s="3"/>
      <c r="C324" s="3"/>
      <c r="D324" s="7" t="s">
        <v>569</v>
      </c>
      <c r="E324" s="10"/>
      <c r="F324" s="11" t="s">
        <v>23</v>
      </c>
      <c r="G324" s="11">
        <v>1</v>
      </c>
    </row>
    <row r="325" s="72" customFormat="1" customHeight="1" spans="1:7">
      <c r="A325" s="3"/>
      <c r="B325" s="3"/>
      <c r="C325" s="3"/>
      <c r="D325" s="10" t="s">
        <v>570</v>
      </c>
      <c r="E325" s="10" t="s">
        <v>571</v>
      </c>
      <c r="F325" s="11" t="s">
        <v>26</v>
      </c>
      <c r="G325" s="11">
        <v>18</v>
      </c>
    </row>
    <row r="326" s="72" customFormat="1" customHeight="1" spans="1:7">
      <c r="A326" s="3"/>
      <c r="B326" s="3"/>
      <c r="C326" s="3"/>
      <c r="D326" s="10" t="s">
        <v>572</v>
      </c>
      <c r="E326" s="10" t="s">
        <v>573</v>
      </c>
      <c r="F326" s="11" t="s">
        <v>23</v>
      </c>
      <c r="G326" s="11">
        <v>18</v>
      </c>
    </row>
    <row r="327" s="72" customFormat="1" customHeight="1" spans="1:7">
      <c r="A327" s="3"/>
      <c r="B327" s="3"/>
      <c r="C327" s="3"/>
      <c r="D327" s="10" t="s">
        <v>196</v>
      </c>
      <c r="E327" s="10" t="s">
        <v>574</v>
      </c>
      <c r="F327" s="11" t="s">
        <v>23</v>
      </c>
      <c r="G327" s="11">
        <v>6</v>
      </c>
    </row>
    <row r="328" s="72" customFormat="1" customHeight="1" spans="1:7">
      <c r="A328" s="3"/>
      <c r="B328" s="3"/>
      <c r="C328" s="3"/>
      <c r="D328" s="10" t="s">
        <v>575</v>
      </c>
      <c r="E328" s="10" t="s">
        <v>576</v>
      </c>
      <c r="F328" s="11" t="s">
        <v>23</v>
      </c>
      <c r="G328" s="11">
        <v>6</v>
      </c>
    </row>
    <row r="329" s="72" customFormat="1" customHeight="1" spans="1:7">
      <c r="A329" s="3"/>
      <c r="B329" s="3"/>
      <c r="C329" s="3"/>
      <c r="D329" s="10" t="s">
        <v>577</v>
      </c>
      <c r="E329" s="10" t="s">
        <v>578</v>
      </c>
      <c r="F329" s="11" t="s">
        <v>23</v>
      </c>
      <c r="G329" s="11">
        <v>1</v>
      </c>
    </row>
    <row r="330" s="72" customFormat="1" customHeight="1" spans="1:7">
      <c r="A330" s="3"/>
      <c r="B330" s="3"/>
      <c r="C330" s="3"/>
      <c r="D330" s="10" t="s">
        <v>316</v>
      </c>
      <c r="E330" s="10" t="s">
        <v>579</v>
      </c>
      <c r="F330" s="11" t="s">
        <v>23</v>
      </c>
      <c r="G330" s="11">
        <v>2</v>
      </c>
    </row>
    <row r="331" s="72" customFormat="1" customHeight="1" spans="1:7">
      <c r="A331" s="3"/>
      <c r="B331" s="3"/>
      <c r="C331" s="3"/>
      <c r="D331" s="10" t="s">
        <v>580</v>
      </c>
      <c r="E331" s="10" t="s">
        <v>581</v>
      </c>
      <c r="F331" s="11" t="s">
        <v>23</v>
      </c>
      <c r="G331" s="11">
        <v>2</v>
      </c>
    </row>
    <row r="332" s="72" customFormat="1" customHeight="1" spans="1:7">
      <c r="A332" s="3"/>
      <c r="B332" s="3"/>
      <c r="C332" s="3"/>
      <c r="D332" s="10" t="s">
        <v>582</v>
      </c>
      <c r="E332" s="10" t="s">
        <v>581</v>
      </c>
      <c r="F332" s="11" t="s">
        <v>23</v>
      </c>
      <c r="G332" s="11">
        <v>2</v>
      </c>
    </row>
    <row r="333" s="72" customFormat="1" customHeight="1" spans="1:7">
      <c r="A333" s="3"/>
      <c r="B333" s="3"/>
      <c r="C333" s="3"/>
      <c r="D333" s="10" t="s">
        <v>583</v>
      </c>
      <c r="E333" s="10"/>
      <c r="F333" s="11" t="s">
        <v>23</v>
      </c>
      <c r="G333" s="11">
        <v>2</v>
      </c>
    </row>
    <row r="334" s="72" customFormat="1" customHeight="1" spans="1:7">
      <c r="A334" s="3"/>
      <c r="B334" s="3"/>
      <c r="C334" s="3"/>
      <c r="D334" s="10" t="s">
        <v>584</v>
      </c>
      <c r="E334" s="10"/>
      <c r="F334" s="11" t="s">
        <v>23</v>
      </c>
      <c r="G334" s="11">
        <v>2</v>
      </c>
    </row>
    <row r="335" s="72" customFormat="1" customHeight="1" spans="1:7">
      <c r="A335" s="3"/>
      <c r="B335" s="3"/>
      <c r="C335" s="3"/>
      <c r="D335" s="10" t="s">
        <v>321</v>
      </c>
      <c r="E335" s="10" t="s">
        <v>585</v>
      </c>
      <c r="F335" s="11" t="s">
        <v>23</v>
      </c>
      <c r="G335" s="11">
        <v>2</v>
      </c>
    </row>
    <row r="336" s="72" customFormat="1" customHeight="1" spans="1:7">
      <c r="A336" s="3"/>
      <c r="B336" s="3"/>
      <c r="C336" s="3"/>
      <c r="D336" s="10" t="s">
        <v>586</v>
      </c>
      <c r="E336" s="10"/>
      <c r="F336" s="11" t="s">
        <v>23</v>
      </c>
      <c r="G336" s="11">
        <v>2</v>
      </c>
    </row>
    <row r="337" s="72" customFormat="1" customHeight="1" spans="1:7">
      <c r="A337" s="3"/>
      <c r="B337" s="3"/>
      <c r="C337" s="3"/>
      <c r="D337" s="10" t="s">
        <v>349</v>
      </c>
      <c r="E337" s="10"/>
      <c r="F337" s="11" t="s">
        <v>23</v>
      </c>
      <c r="G337" s="11">
        <v>2</v>
      </c>
    </row>
    <row r="338" s="72" customFormat="1" customHeight="1" spans="1:7">
      <c r="A338" s="3">
        <v>18</v>
      </c>
      <c r="B338" s="3"/>
      <c r="C338" s="3"/>
      <c r="D338" s="10" t="s">
        <v>587</v>
      </c>
      <c r="E338" s="10"/>
      <c r="F338" s="11" t="s">
        <v>23</v>
      </c>
      <c r="G338" s="11">
        <v>1</v>
      </c>
    </row>
    <row r="339" s="72" customFormat="1" customHeight="1" spans="1:7">
      <c r="A339" s="3"/>
      <c r="B339" s="3"/>
      <c r="C339" s="3"/>
      <c r="D339" s="10" t="s">
        <v>588</v>
      </c>
      <c r="E339" s="10"/>
      <c r="F339" s="11" t="s">
        <v>23</v>
      </c>
      <c r="G339" s="11">
        <v>1</v>
      </c>
    </row>
    <row r="340" s="72" customFormat="1" customHeight="1" spans="1:7">
      <c r="A340" s="3"/>
      <c r="B340" s="3"/>
      <c r="C340" s="3"/>
      <c r="D340" s="10" t="s">
        <v>589</v>
      </c>
      <c r="E340" s="10"/>
      <c r="F340" s="11" t="s">
        <v>23</v>
      </c>
      <c r="G340" s="11">
        <v>1</v>
      </c>
    </row>
    <row r="341" s="72" customFormat="1" customHeight="1" spans="1:7">
      <c r="A341" s="3">
        <v>19</v>
      </c>
      <c r="B341" s="3"/>
      <c r="C341" s="3"/>
      <c r="D341" s="10" t="s">
        <v>590</v>
      </c>
      <c r="E341" s="10"/>
      <c r="F341" s="11" t="s">
        <v>23</v>
      </c>
      <c r="G341" s="11">
        <v>2</v>
      </c>
    </row>
    <row r="342" s="72" customFormat="1" customHeight="1" spans="1:7">
      <c r="A342" s="3"/>
      <c r="B342" s="3"/>
      <c r="C342" s="3"/>
      <c r="D342" s="10" t="s">
        <v>591</v>
      </c>
      <c r="E342" s="10"/>
      <c r="F342" s="11" t="s">
        <v>12</v>
      </c>
      <c r="G342" s="11">
        <v>1</v>
      </c>
    </row>
    <row r="343" s="72" customFormat="1" customHeight="1" spans="1:7">
      <c r="A343" s="3"/>
      <c r="B343" s="3"/>
      <c r="C343" s="3"/>
      <c r="D343" s="10" t="s">
        <v>592</v>
      </c>
      <c r="E343" s="10"/>
      <c r="F343" s="11" t="s">
        <v>12</v>
      </c>
      <c r="G343" s="11">
        <v>1</v>
      </c>
    </row>
    <row r="344" s="72" customFormat="1" customHeight="1" spans="1:7">
      <c r="A344" s="3">
        <v>20</v>
      </c>
      <c r="B344" s="3"/>
      <c r="C344" s="3"/>
      <c r="D344" s="10" t="s">
        <v>593</v>
      </c>
      <c r="E344" s="10"/>
      <c r="F344" s="11" t="s">
        <v>23</v>
      </c>
      <c r="G344" s="11">
        <v>1</v>
      </c>
    </row>
    <row r="345" s="72" customFormat="1" customHeight="1" spans="1:7">
      <c r="A345" s="3"/>
      <c r="B345" s="3"/>
      <c r="C345" s="3"/>
      <c r="D345" s="10" t="s">
        <v>594</v>
      </c>
      <c r="E345" s="10"/>
      <c r="F345" s="11" t="s">
        <v>23</v>
      </c>
      <c r="G345" s="11">
        <v>1</v>
      </c>
    </row>
    <row r="346" s="72" customFormat="1" customHeight="1" spans="1:7">
      <c r="A346" s="3"/>
      <c r="B346" s="3"/>
      <c r="C346" s="3"/>
      <c r="D346" s="10" t="s">
        <v>595</v>
      </c>
      <c r="E346" s="10" t="s">
        <v>596</v>
      </c>
      <c r="F346" s="11" t="s">
        <v>23</v>
      </c>
      <c r="G346" s="11">
        <v>1</v>
      </c>
    </row>
    <row r="347" s="72" customFormat="1" customHeight="1" spans="1:7">
      <c r="A347" s="3"/>
      <c r="B347" s="3"/>
      <c r="C347" s="3"/>
      <c r="D347" s="10" t="s">
        <v>597</v>
      </c>
      <c r="E347" s="10"/>
      <c r="F347" s="11" t="s">
        <v>23</v>
      </c>
      <c r="G347" s="11">
        <v>1</v>
      </c>
    </row>
    <row r="348" s="72" customFormat="1" customHeight="1" spans="1:7">
      <c r="A348" s="3">
        <v>21</v>
      </c>
      <c r="B348" s="3"/>
      <c r="C348" s="3"/>
      <c r="D348" s="37" t="s">
        <v>598</v>
      </c>
      <c r="E348" s="37"/>
      <c r="F348" s="58" t="s">
        <v>23</v>
      </c>
      <c r="G348" s="58">
        <v>1</v>
      </c>
    </row>
    <row r="349" s="72" customFormat="1" customHeight="1" spans="1:7">
      <c r="A349" s="3">
        <v>22</v>
      </c>
      <c r="B349" s="3"/>
      <c r="C349" s="3"/>
      <c r="D349" s="37" t="s">
        <v>599</v>
      </c>
      <c r="E349" s="37"/>
      <c r="F349" s="58" t="s">
        <v>23</v>
      </c>
      <c r="G349" s="58">
        <v>1</v>
      </c>
    </row>
    <row r="350" s="72" customFormat="1" customHeight="1" spans="1:7">
      <c r="A350" s="3"/>
      <c r="B350" s="3"/>
      <c r="C350" s="3"/>
      <c r="D350" s="37" t="s">
        <v>600</v>
      </c>
      <c r="E350" s="37"/>
      <c r="F350" s="58" t="s">
        <v>23</v>
      </c>
      <c r="G350" s="58">
        <v>2</v>
      </c>
    </row>
    <row r="351" s="72" customFormat="1" customHeight="1" spans="1:7">
      <c r="A351" s="3"/>
      <c r="B351" s="3"/>
      <c r="C351" s="3"/>
      <c r="D351" s="37" t="s">
        <v>601</v>
      </c>
      <c r="E351" s="37"/>
      <c r="F351" s="58" t="s">
        <v>23</v>
      </c>
      <c r="G351" s="58">
        <v>2</v>
      </c>
    </row>
    <row r="352" s="72" customFormat="1" customHeight="1" spans="1:7">
      <c r="A352" s="3"/>
      <c r="B352" s="3"/>
      <c r="C352" s="3"/>
      <c r="D352" s="37" t="s">
        <v>602</v>
      </c>
      <c r="E352" s="37"/>
      <c r="F352" s="58" t="s">
        <v>23</v>
      </c>
      <c r="G352" s="58">
        <v>1</v>
      </c>
    </row>
    <row r="353" s="72" customFormat="1" customHeight="1" spans="1:7">
      <c r="A353" s="3"/>
      <c r="B353" s="3"/>
      <c r="C353" s="3"/>
      <c r="D353" s="10"/>
      <c r="E353" s="10"/>
      <c r="F353" s="11"/>
      <c r="G353" s="11"/>
    </row>
    <row r="354" s="72" customFormat="1" customHeight="1" spans="1:7">
      <c r="A354" s="3" t="s">
        <v>35</v>
      </c>
      <c r="B354" s="3"/>
      <c r="C354" s="3"/>
      <c r="D354" s="10" t="s">
        <v>603</v>
      </c>
      <c r="E354" s="10"/>
      <c r="F354" s="11"/>
      <c r="G354" s="11"/>
    </row>
    <row r="355" s="72" customFormat="1" customHeight="1" spans="1:7">
      <c r="A355" s="3">
        <v>1</v>
      </c>
      <c r="B355" s="3"/>
      <c r="C355" s="3"/>
      <c r="D355" s="10" t="s">
        <v>604</v>
      </c>
      <c r="E355" s="10"/>
      <c r="F355" s="11" t="s">
        <v>23</v>
      </c>
      <c r="G355" s="11">
        <v>1</v>
      </c>
    </row>
    <row r="356" s="72" customFormat="1" customHeight="1" spans="1:7">
      <c r="A356" s="3">
        <v>2</v>
      </c>
      <c r="B356" s="3"/>
      <c r="C356" s="3"/>
      <c r="D356" s="10" t="s">
        <v>605</v>
      </c>
      <c r="E356" s="10"/>
      <c r="F356" s="11" t="s">
        <v>23</v>
      </c>
      <c r="G356" s="11">
        <v>1</v>
      </c>
    </row>
    <row r="357" s="72" customFormat="1" customHeight="1" spans="1:7">
      <c r="A357" s="3">
        <v>3</v>
      </c>
      <c r="B357" s="3"/>
      <c r="C357" s="3"/>
      <c r="D357" s="10" t="s">
        <v>606</v>
      </c>
      <c r="E357" s="10"/>
      <c r="F357" s="11" t="s">
        <v>23</v>
      </c>
      <c r="G357" s="11">
        <v>1</v>
      </c>
    </row>
    <row r="358" s="72" customFormat="1" customHeight="1" spans="1:7">
      <c r="A358" s="3">
        <v>4</v>
      </c>
      <c r="B358" s="3"/>
      <c r="C358" s="3"/>
      <c r="D358" s="10" t="s">
        <v>607</v>
      </c>
      <c r="E358" s="10"/>
      <c r="F358" s="11" t="s">
        <v>23</v>
      </c>
      <c r="G358" s="11">
        <v>1</v>
      </c>
    </row>
    <row r="359" s="72" customFormat="1" customHeight="1" spans="1:7">
      <c r="A359" s="12"/>
      <c r="B359" s="12"/>
      <c r="C359" s="12"/>
      <c r="D359" s="13" t="s">
        <v>34</v>
      </c>
      <c r="E359" s="13"/>
      <c r="F359" s="14"/>
      <c r="G359" s="14"/>
    </row>
    <row r="360" s="72" customFormat="1" customHeight="1" spans="1:7">
      <c r="A360" s="3">
        <v>1.6</v>
      </c>
      <c r="B360" s="3"/>
      <c r="C360" s="3"/>
      <c r="D360" s="7" t="s">
        <v>608</v>
      </c>
      <c r="E360" s="10" t="s">
        <v>609</v>
      </c>
      <c r="F360" s="11" t="s">
        <v>23</v>
      </c>
      <c r="G360" s="11">
        <v>1</v>
      </c>
    </row>
    <row r="361" s="72" customFormat="1" customHeight="1" spans="1:7">
      <c r="A361" s="3"/>
      <c r="B361" s="3"/>
      <c r="C361" s="3"/>
      <c r="D361" s="10"/>
      <c r="E361" s="10"/>
      <c r="F361" s="11"/>
      <c r="G361" s="11"/>
    </row>
    <row r="362" s="72" customFormat="1" customHeight="1" spans="1:7">
      <c r="A362" s="12"/>
      <c r="B362" s="12"/>
      <c r="C362" s="12"/>
      <c r="D362" s="13" t="s">
        <v>34</v>
      </c>
      <c r="E362" s="13"/>
      <c r="F362" s="14"/>
      <c r="G362" s="14"/>
    </row>
    <row r="363" s="72" customFormat="1" customHeight="1" spans="1:7">
      <c r="A363" s="3">
        <v>1.7</v>
      </c>
      <c r="B363" s="3"/>
      <c r="C363" s="3"/>
      <c r="D363" s="7" t="s">
        <v>610</v>
      </c>
      <c r="E363" s="10" t="s">
        <v>611</v>
      </c>
      <c r="F363" s="11" t="s">
        <v>23</v>
      </c>
      <c r="G363" s="11">
        <v>1</v>
      </c>
    </row>
    <row r="364" s="72" customFormat="1" customHeight="1" spans="1:7">
      <c r="A364" s="3"/>
      <c r="B364" s="3"/>
      <c r="C364" s="3"/>
      <c r="D364" s="10"/>
      <c r="E364" s="10"/>
      <c r="F364" s="11"/>
      <c r="G364" s="11"/>
    </row>
    <row r="365" s="72" customFormat="1" customHeight="1" spans="1:7">
      <c r="A365" s="12"/>
      <c r="B365" s="12"/>
      <c r="C365" s="12"/>
      <c r="D365" s="13" t="s">
        <v>34</v>
      </c>
      <c r="E365" s="13"/>
      <c r="F365" s="14"/>
      <c r="G365" s="14"/>
    </row>
    <row r="366" s="72" customFormat="1" customHeight="1" spans="1:7">
      <c r="A366" s="3">
        <v>1.8</v>
      </c>
      <c r="B366" s="3"/>
      <c r="C366" s="3"/>
      <c r="D366" s="7" t="s">
        <v>590</v>
      </c>
      <c r="E366" s="10"/>
      <c r="F366" s="11"/>
      <c r="G366" s="11"/>
    </row>
    <row r="367" s="72" customFormat="1" customHeight="1" spans="1:7">
      <c r="A367" s="3" t="s">
        <v>612</v>
      </c>
      <c r="B367" s="3"/>
      <c r="C367" s="3"/>
      <c r="D367" s="10" t="s">
        <v>613</v>
      </c>
      <c r="E367" s="10" t="s">
        <v>614</v>
      </c>
      <c r="F367" s="11" t="s">
        <v>12</v>
      </c>
      <c r="G367" s="11">
        <v>0</v>
      </c>
    </row>
    <row r="368" s="72" customFormat="1" ht="54" customHeight="1" spans="1:7">
      <c r="A368" s="3" t="s">
        <v>615</v>
      </c>
      <c r="B368" s="3"/>
      <c r="C368" s="3"/>
      <c r="D368" s="10" t="s">
        <v>616</v>
      </c>
      <c r="E368" s="10" t="s">
        <v>617</v>
      </c>
      <c r="F368" s="11" t="s">
        <v>12</v>
      </c>
      <c r="G368" s="11">
        <v>1</v>
      </c>
    </row>
    <row r="369" s="72" customFormat="1" ht="53" customHeight="1" spans="1:7">
      <c r="A369" s="3" t="s">
        <v>618</v>
      </c>
      <c r="B369" s="3"/>
      <c r="C369" s="3"/>
      <c r="D369" s="10" t="s">
        <v>619</v>
      </c>
      <c r="E369" s="10" t="s">
        <v>620</v>
      </c>
      <c r="F369" s="11" t="s">
        <v>12</v>
      </c>
      <c r="G369" s="11">
        <v>1</v>
      </c>
    </row>
    <row r="370" s="72" customFormat="1" customHeight="1" spans="1:7">
      <c r="A370" s="3" t="s">
        <v>621</v>
      </c>
      <c r="B370" s="3"/>
      <c r="C370" s="3"/>
      <c r="D370" s="10" t="s">
        <v>622</v>
      </c>
      <c r="E370" s="10" t="s">
        <v>623</v>
      </c>
      <c r="F370" s="11" t="s">
        <v>12</v>
      </c>
      <c r="G370" s="11">
        <v>1</v>
      </c>
    </row>
    <row r="371" s="72" customFormat="1" ht="31" customHeight="1" spans="1:7">
      <c r="A371" s="3" t="s">
        <v>624</v>
      </c>
      <c r="B371" s="3"/>
      <c r="C371" s="3"/>
      <c r="D371" s="10" t="s">
        <v>625</v>
      </c>
      <c r="E371" s="10" t="s">
        <v>626</v>
      </c>
      <c r="F371" s="11" t="s">
        <v>12</v>
      </c>
      <c r="G371" s="11">
        <v>1</v>
      </c>
    </row>
    <row r="372" s="72" customFormat="1" ht="39" customHeight="1" spans="1:7">
      <c r="A372" s="3" t="s">
        <v>627</v>
      </c>
      <c r="B372" s="3"/>
      <c r="C372" s="3"/>
      <c r="D372" s="10" t="s">
        <v>628</v>
      </c>
      <c r="E372" s="10" t="s">
        <v>629</v>
      </c>
      <c r="F372" s="11" t="s">
        <v>12</v>
      </c>
      <c r="G372" s="11">
        <v>2</v>
      </c>
    </row>
    <row r="373" s="72" customFormat="1" customHeight="1" spans="1:7">
      <c r="A373" s="3" t="s">
        <v>630</v>
      </c>
      <c r="B373" s="3"/>
      <c r="C373" s="3"/>
      <c r="D373" s="10" t="s">
        <v>631</v>
      </c>
      <c r="E373" s="10" t="s">
        <v>632</v>
      </c>
      <c r="F373" s="11" t="s">
        <v>12</v>
      </c>
      <c r="G373" s="11">
        <v>1</v>
      </c>
    </row>
    <row r="374" s="72" customFormat="1" ht="41.25" customHeight="1" spans="1:7">
      <c r="A374" s="3"/>
      <c r="B374" s="3"/>
      <c r="C374" s="3"/>
      <c r="D374" s="10" t="s">
        <v>616</v>
      </c>
      <c r="E374" s="10" t="s">
        <v>633</v>
      </c>
      <c r="F374" s="11" t="s">
        <v>12</v>
      </c>
      <c r="G374" s="11">
        <v>1</v>
      </c>
    </row>
    <row r="375" s="72" customFormat="1" customHeight="1" spans="1:7">
      <c r="A375" s="3" t="s">
        <v>634</v>
      </c>
      <c r="B375" s="3"/>
      <c r="C375" s="3"/>
      <c r="D375" s="10" t="s">
        <v>635</v>
      </c>
      <c r="E375" s="10" t="s">
        <v>636</v>
      </c>
      <c r="F375" s="11" t="s">
        <v>12</v>
      </c>
      <c r="G375" s="11">
        <v>1</v>
      </c>
    </row>
    <row r="376" s="72" customFormat="1" customHeight="1" spans="1:7">
      <c r="A376" s="3" t="s">
        <v>637</v>
      </c>
      <c r="B376" s="3"/>
      <c r="C376" s="3"/>
      <c r="D376" s="10" t="s">
        <v>638</v>
      </c>
      <c r="E376" s="10" t="s">
        <v>639</v>
      </c>
      <c r="F376" s="11" t="s">
        <v>12</v>
      </c>
      <c r="G376" s="11">
        <v>1</v>
      </c>
    </row>
    <row r="377" s="72" customFormat="1" ht="44.25" customHeight="1" spans="1:7">
      <c r="A377" s="3" t="s">
        <v>640</v>
      </c>
      <c r="B377" s="3"/>
      <c r="C377" s="3"/>
      <c r="D377" s="10" t="s">
        <v>68</v>
      </c>
      <c r="E377" s="10" t="s">
        <v>641</v>
      </c>
      <c r="F377" s="11" t="s">
        <v>12</v>
      </c>
      <c r="G377" s="11">
        <v>1</v>
      </c>
    </row>
    <row r="378" s="72" customFormat="1" ht="38" customHeight="1" spans="1:7">
      <c r="A378" s="3" t="s">
        <v>642</v>
      </c>
      <c r="B378" s="3"/>
      <c r="C378" s="3"/>
      <c r="D378" s="10" t="s">
        <v>643</v>
      </c>
      <c r="E378" s="10" t="s">
        <v>644</v>
      </c>
      <c r="F378" s="11" t="s">
        <v>12</v>
      </c>
      <c r="G378" s="11">
        <v>1</v>
      </c>
    </row>
    <row r="379" s="72" customFormat="1" ht="30" customHeight="1" spans="1:7">
      <c r="A379" s="3" t="s">
        <v>645</v>
      </c>
      <c r="B379" s="3"/>
      <c r="C379" s="3"/>
      <c r="D379" s="10" t="s">
        <v>646</v>
      </c>
      <c r="E379" s="10" t="s">
        <v>647</v>
      </c>
      <c r="F379" s="11" t="s">
        <v>12</v>
      </c>
      <c r="G379" s="11">
        <v>0</v>
      </c>
    </row>
    <row r="380" s="72" customFormat="1" customHeight="1" spans="1:7">
      <c r="A380" s="3" t="s">
        <v>648</v>
      </c>
      <c r="B380" s="3"/>
      <c r="C380" s="3"/>
      <c r="D380" s="10" t="s">
        <v>635</v>
      </c>
      <c r="E380" s="10" t="s">
        <v>649</v>
      </c>
      <c r="F380" s="11" t="s">
        <v>12</v>
      </c>
      <c r="G380" s="11">
        <v>1</v>
      </c>
    </row>
    <row r="381" s="72" customFormat="1" customHeight="1" spans="1:7">
      <c r="A381" s="3" t="s">
        <v>650</v>
      </c>
      <c r="B381" s="3"/>
      <c r="C381" s="3"/>
      <c r="D381" s="10" t="s">
        <v>651</v>
      </c>
      <c r="E381" s="10" t="s">
        <v>649</v>
      </c>
      <c r="F381" s="11" t="s">
        <v>12</v>
      </c>
      <c r="G381" s="11">
        <v>1</v>
      </c>
    </row>
    <row r="382" s="72" customFormat="1" ht="26" customHeight="1" spans="1:7">
      <c r="A382" s="3" t="s">
        <v>652</v>
      </c>
      <c r="B382" s="3"/>
      <c r="C382" s="3"/>
      <c r="D382" s="10" t="s">
        <v>643</v>
      </c>
      <c r="E382" s="10" t="s">
        <v>653</v>
      </c>
      <c r="F382" s="11" t="s">
        <v>12</v>
      </c>
      <c r="G382" s="11">
        <v>2</v>
      </c>
    </row>
    <row r="383" s="72" customFormat="1" customHeight="1" spans="1:7">
      <c r="A383" s="3"/>
      <c r="B383" s="3"/>
      <c r="C383" s="3"/>
      <c r="D383" s="10" t="s">
        <v>654</v>
      </c>
      <c r="E383" s="10" t="s">
        <v>655</v>
      </c>
      <c r="F383" s="11" t="s">
        <v>12</v>
      </c>
      <c r="G383" s="11">
        <v>1</v>
      </c>
    </row>
    <row r="384" s="72" customFormat="1" customHeight="1" spans="1:7">
      <c r="A384" s="3" t="s">
        <v>656</v>
      </c>
      <c r="B384" s="3"/>
      <c r="C384" s="3"/>
      <c r="D384" s="10" t="s">
        <v>657</v>
      </c>
      <c r="E384" s="10"/>
      <c r="F384" s="11"/>
      <c r="G384" s="11"/>
    </row>
    <row r="385" s="72" customFormat="1" customHeight="1" spans="1:7">
      <c r="A385" s="3"/>
      <c r="B385" s="3"/>
      <c r="C385" s="3"/>
      <c r="D385" s="10" t="s">
        <v>646</v>
      </c>
      <c r="E385" s="10"/>
      <c r="F385" s="11" t="s">
        <v>12</v>
      </c>
      <c r="G385" s="11">
        <v>2</v>
      </c>
    </row>
    <row r="386" s="72" customFormat="1" customHeight="1" spans="1:7">
      <c r="A386" s="3"/>
      <c r="B386" s="3"/>
      <c r="C386" s="3"/>
      <c r="D386" s="10" t="s">
        <v>217</v>
      </c>
      <c r="E386" s="10"/>
      <c r="F386" s="11" t="s">
        <v>12</v>
      </c>
      <c r="G386" s="11">
        <v>1</v>
      </c>
    </row>
    <row r="387" s="72" customFormat="1" customHeight="1" spans="1:7">
      <c r="A387" s="3"/>
      <c r="B387" s="3"/>
      <c r="C387" s="3"/>
      <c r="D387" s="10" t="s">
        <v>658</v>
      </c>
      <c r="E387" s="10"/>
      <c r="F387" s="11" t="s">
        <v>12</v>
      </c>
      <c r="G387" s="11">
        <v>2</v>
      </c>
    </row>
    <row r="388" s="72" customFormat="1" customHeight="1" spans="1:7">
      <c r="A388" s="3"/>
      <c r="B388" s="3"/>
      <c r="C388" s="3"/>
      <c r="D388" s="10" t="s">
        <v>658</v>
      </c>
      <c r="E388" s="10"/>
      <c r="F388" s="11" t="s">
        <v>12</v>
      </c>
      <c r="G388" s="11">
        <v>1</v>
      </c>
    </row>
    <row r="389" s="72" customFormat="1" customHeight="1" spans="1:7">
      <c r="A389" s="3"/>
      <c r="B389" s="3"/>
      <c r="C389" s="3"/>
      <c r="D389" s="10" t="s">
        <v>659</v>
      </c>
      <c r="E389" s="10"/>
      <c r="F389" s="11" t="s">
        <v>12</v>
      </c>
      <c r="G389" s="11">
        <v>1</v>
      </c>
    </row>
    <row r="390" s="72" customFormat="1" customHeight="1" spans="1:7">
      <c r="A390" s="3"/>
      <c r="B390" s="3"/>
      <c r="C390" s="3"/>
      <c r="D390" s="10" t="s">
        <v>218</v>
      </c>
      <c r="E390" s="10"/>
      <c r="F390" s="11" t="s">
        <v>12</v>
      </c>
      <c r="G390" s="11">
        <v>1</v>
      </c>
    </row>
    <row r="391" s="72" customFormat="1" customHeight="1" spans="1:7">
      <c r="A391" s="3"/>
      <c r="B391" s="3"/>
      <c r="C391" s="3"/>
      <c r="D391" s="10" t="s">
        <v>660</v>
      </c>
      <c r="E391" s="10"/>
      <c r="F391" s="11" t="s">
        <v>12</v>
      </c>
      <c r="G391" s="11">
        <v>1</v>
      </c>
    </row>
    <row r="392" s="72" customFormat="1" customHeight="1" spans="1:7">
      <c r="A392" s="3"/>
      <c r="B392" s="3"/>
      <c r="C392" s="3"/>
      <c r="D392" s="10" t="s">
        <v>658</v>
      </c>
      <c r="E392" s="10"/>
      <c r="F392" s="11" t="s">
        <v>12</v>
      </c>
      <c r="G392" s="11">
        <v>1</v>
      </c>
    </row>
    <row r="393" s="72" customFormat="1" customHeight="1" spans="1:7">
      <c r="A393" s="3"/>
      <c r="B393" s="3"/>
      <c r="C393" s="3"/>
      <c r="D393" s="10" t="s">
        <v>218</v>
      </c>
      <c r="E393" s="10"/>
      <c r="F393" s="11" t="s">
        <v>12</v>
      </c>
      <c r="G393" s="11">
        <v>2</v>
      </c>
    </row>
    <row r="394" s="72" customFormat="1" customHeight="1" spans="1:7">
      <c r="A394" s="3"/>
      <c r="B394" s="3"/>
      <c r="C394" s="3"/>
      <c r="D394" s="10" t="s">
        <v>658</v>
      </c>
      <c r="E394" s="10"/>
      <c r="F394" s="11" t="s">
        <v>12</v>
      </c>
      <c r="G394" s="11">
        <v>2</v>
      </c>
    </row>
    <row r="395" s="72" customFormat="1" customHeight="1" spans="1:7">
      <c r="A395" s="3"/>
      <c r="B395" s="3"/>
      <c r="C395" s="3"/>
      <c r="D395" s="10" t="s">
        <v>659</v>
      </c>
      <c r="E395" s="10"/>
      <c r="F395" s="11" t="s">
        <v>12</v>
      </c>
      <c r="G395" s="11">
        <v>2</v>
      </c>
    </row>
    <row r="396" s="72" customFormat="1" customHeight="1" spans="1:7">
      <c r="A396" s="3"/>
      <c r="B396" s="3"/>
      <c r="C396" s="3"/>
      <c r="D396" s="10"/>
      <c r="E396" s="10"/>
      <c r="F396" s="11"/>
      <c r="G396" s="11"/>
    </row>
    <row r="397" s="72" customFormat="1" customHeight="1" spans="1:7">
      <c r="A397" s="12"/>
      <c r="B397" s="12"/>
      <c r="C397" s="12"/>
      <c r="D397" s="13" t="s">
        <v>34</v>
      </c>
      <c r="E397" s="13"/>
      <c r="F397" s="14"/>
      <c r="G397" s="14"/>
    </row>
    <row r="398" s="72" customFormat="1" customHeight="1" spans="1:7">
      <c r="A398" s="12"/>
      <c r="B398" s="12"/>
      <c r="C398" s="12"/>
      <c r="D398" s="13" t="s">
        <v>661</v>
      </c>
      <c r="E398" s="13"/>
      <c r="F398" s="14"/>
      <c r="G398" s="14"/>
    </row>
  </sheetData>
  <autoFilter xmlns:etc="http://www.wps.cn/officeDocument/2017/etCustomData" ref="A3:J398" etc:filterBottomFollowUsedRange="0">
    <extLst/>
  </autoFilter>
  <mergeCells count="7"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25"/>
  <sheetViews>
    <sheetView zoomScale="170" zoomScaleNormal="170" workbookViewId="0">
      <selection activeCell="A1" sqref="$A1:$XFD1"/>
    </sheetView>
  </sheetViews>
  <sheetFormatPr defaultColWidth="8.8" defaultRowHeight="12" outlineLevelCol="6"/>
  <cols>
    <col min="1" max="2" width="6.2" customWidth="1"/>
    <col min="3" max="3" width="8.8" style="2" customWidth="1"/>
    <col min="4" max="4" width="19.2" style="2" customWidth="1"/>
    <col min="5" max="5" width="66" style="2" customWidth="1"/>
    <col min="6" max="6" width="5.8" style="2" customWidth="1"/>
    <col min="7" max="16384" width="8.8" style="2"/>
  </cols>
  <sheetData>
    <row r="1" ht="20" customHeight="1" spans="1:7">
      <c r="A1" s="61" t="s">
        <v>0</v>
      </c>
      <c r="B1" s="62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ht="20" customHeight="1" spans="1:7">
      <c r="A2" s="61"/>
      <c r="B2" s="63"/>
      <c r="C2" s="17"/>
      <c r="D2" s="15"/>
      <c r="E2" s="15"/>
      <c r="F2" s="15"/>
      <c r="G2" s="15"/>
    </row>
    <row r="3" s="21" customFormat="1" ht="20" customHeight="1" spans="1:7">
      <c r="A3" s="65">
        <v>1</v>
      </c>
      <c r="B3" s="65"/>
      <c r="C3" s="44"/>
      <c r="D3" s="45" t="s">
        <v>662</v>
      </c>
      <c r="E3" s="46"/>
      <c r="F3" s="42"/>
      <c r="G3" s="42"/>
    </row>
    <row r="4" s="21" customFormat="1" ht="46" customHeight="1" spans="1:7">
      <c r="A4" s="61"/>
      <c r="B4" s="61"/>
      <c r="C4" s="15"/>
      <c r="D4" s="46" t="s">
        <v>663</v>
      </c>
      <c r="E4" s="46" t="s">
        <v>664</v>
      </c>
      <c r="F4" s="42" t="s">
        <v>23</v>
      </c>
      <c r="G4" s="42">
        <v>1</v>
      </c>
    </row>
    <row r="5" s="21" customFormat="1" ht="30" customHeight="1" spans="1:7">
      <c r="A5" s="61"/>
      <c r="B5" s="61"/>
      <c r="C5" s="15"/>
      <c r="D5" s="46" t="s">
        <v>665</v>
      </c>
      <c r="E5" s="46" t="s">
        <v>666</v>
      </c>
      <c r="F5" s="42" t="s">
        <v>23</v>
      </c>
      <c r="G5" s="42">
        <v>1</v>
      </c>
    </row>
    <row r="6" s="21" customFormat="1" ht="32" customHeight="1" spans="1:7">
      <c r="A6" s="61"/>
      <c r="B6" s="61"/>
      <c r="C6" s="15"/>
      <c r="D6" s="46" t="s">
        <v>667</v>
      </c>
      <c r="E6" s="46" t="s">
        <v>668</v>
      </c>
      <c r="F6" s="42" t="s">
        <v>23</v>
      </c>
      <c r="G6" s="42">
        <v>1</v>
      </c>
    </row>
    <row r="7" s="21" customFormat="1" ht="20" customHeight="1" spans="1:7">
      <c r="A7" s="61"/>
      <c r="B7" s="61"/>
      <c r="C7" s="15"/>
      <c r="D7" s="46"/>
      <c r="E7" s="46"/>
      <c r="F7" s="42"/>
      <c r="G7" s="42"/>
    </row>
    <row r="8" s="21" customFormat="1" ht="20" customHeight="1" spans="1:7">
      <c r="A8" s="64"/>
      <c r="B8" s="64"/>
      <c r="C8" s="36"/>
      <c r="D8" s="13" t="s">
        <v>34</v>
      </c>
      <c r="E8" s="37"/>
      <c r="F8" s="58"/>
      <c r="G8" s="58"/>
    </row>
    <row r="9" s="21" customFormat="1" ht="20" customHeight="1" spans="1:7">
      <c r="A9" s="61">
        <v>2</v>
      </c>
      <c r="B9" s="61"/>
      <c r="C9" s="15"/>
      <c r="D9" s="45" t="s">
        <v>669</v>
      </c>
      <c r="E9" s="46"/>
      <c r="F9" s="42"/>
      <c r="G9" s="42"/>
    </row>
    <row r="10" s="21" customFormat="1" ht="28" customHeight="1" spans="1:7">
      <c r="A10" s="61"/>
      <c r="B10" s="61"/>
      <c r="C10" s="15"/>
      <c r="D10" s="46" t="s">
        <v>670</v>
      </c>
      <c r="E10" s="46" t="s">
        <v>671</v>
      </c>
      <c r="F10" s="42" t="s">
        <v>23</v>
      </c>
      <c r="G10" s="42">
        <v>1</v>
      </c>
    </row>
    <row r="11" s="21" customFormat="1" ht="20" customHeight="1" spans="1:7">
      <c r="A11" s="61"/>
      <c r="B11" s="61"/>
      <c r="C11" s="15"/>
      <c r="D11" s="46" t="s">
        <v>665</v>
      </c>
      <c r="E11" s="46" t="s">
        <v>672</v>
      </c>
      <c r="F11" s="42" t="s">
        <v>23</v>
      </c>
      <c r="G11" s="42">
        <v>1</v>
      </c>
    </row>
    <row r="12" s="21" customFormat="1" ht="26" customHeight="1" spans="1:7">
      <c r="A12" s="61"/>
      <c r="B12" s="61"/>
      <c r="C12" s="15"/>
      <c r="D12" s="46" t="s">
        <v>667</v>
      </c>
      <c r="E12" s="46" t="s">
        <v>668</v>
      </c>
      <c r="F12" s="42" t="s">
        <v>23</v>
      </c>
      <c r="G12" s="42">
        <v>1</v>
      </c>
    </row>
    <row r="13" s="21" customFormat="1" ht="20" customHeight="1" spans="1:7">
      <c r="A13" s="61">
        <v>3</v>
      </c>
      <c r="B13" s="61"/>
      <c r="C13" s="15"/>
      <c r="D13" s="46" t="s">
        <v>673</v>
      </c>
      <c r="E13" s="46"/>
      <c r="F13" s="42"/>
      <c r="G13" s="42"/>
    </row>
    <row r="14" s="21" customFormat="1" ht="20" customHeight="1" spans="1:7">
      <c r="A14" s="61"/>
      <c r="B14" s="61"/>
      <c r="C14" s="15"/>
      <c r="D14" s="46" t="s">
        <v>515</v>
      </c>
      <c r="E14" s="46"/>
      <c r="F14" s="42" t="s">
        <v>23</v>
      </c>
      <c r="G14" s="42">
        <v>1</v>
      </c>
    </row>
    <row r="15" s="21" customFormat="1" ht="20" customHeight="1" spans="1:7">
      <c r="A15" s="61"/>
      <c r="B15" s="61"/>
      <c r="C15" s="15"/>
      <c r="D15" s="46" t="s">
        <v>674</v>
      </c>
      <c r="E15" s="46"/>
      <c r="F15" s="42" t="s">
        <v>23</v>
      </c>
      <c r="G15" s="42">
        <v>1</v>
      </c>
    </row>
    <row r="16" s="21" customFormat="1" ht="20" customHeight="1" spans="1:7">
      <c r="A16" s="61"/>
      <c r="B16" s="61"/>
      <c r="C16" s="15"/>
      <c r="D16" s="46" t="s">
        <v>675</v>
      </c>
      <c r="E16" s="46"/>
      <c r="F16" s="42" t="s">
        <v>23</v>
      </c>
      <c r="G16" s="42">
        <v>1</v>
      </c>
    </row>
    <row r="17" s="21" customFormat="1" ht="20" customHeight="1" spans="1:7">
      <c r="A17" s="61"/>
      <c r="B17" s="61"/>
      <c r="C17" s="15"/>
      <c r="D17" s="46" t="s">
        <v>676</v>
      </c>
      <c r="E17" s="46"/>
      <c r="F17" s="42" t="s">
        <v>23</v>
      </c>
      <c r="G17" s="42">
        <v>1</v>
      </c>
    </row>
    <row r="18" s="21" customFormat="1" ht="20" customHeight="1" spans="1:7">
      <c r="A18" s="61"/>
      <c r="B18" s="61"/>
      <c r="C18" s="15"/>
      <c r="D18" s="46" t="s">
        <v>677</v>
      </c>
      <c r="E18" s="46" t="s">
        <v>678</v>
      </c>
      <c r="F18" s="42" t="s">
        <v>23</v>
      </c>
      <c r="G18" s="42">
        <v>2</v>
      </c>
    </row>
    <row r="19" s="21" customFormat="1" ht="20" customHeight="1" spans="1:7">
      <c r="A19" s="61"/>
      <c r="B19" s="61"/>
      <c r="C19" s="15"/>
      <c r="D19" s="46" t="s">
        <v>679</v>
      </c>
      <c r="E19" s="46" t="s">
        <v>680</v>
      </c>
      <c r="F19" s="42" t="s">
        <v>23</v>
      </c>
      <c r="G19" s="42">
        <v>1</v>
      </c>
    </row>
    <row r="20" s="21" customFormat="1" ht="20" customHeight="1" spans="1:7">
      <c r="A20" s="61"/>
      <c r="B20" s="61"/>
      <c r="C20" s="15"/>
      <c r="D20" s="46"/>
      <c r="E20" s="46"/>
      <c r="F20" s="42"/>
      <c r="G20" s="42"/>
    </row>
    <row r="21" s="21" customFormat="1" ht="20" customHeight="1" spans="1:7">
      <c r="A21" s="64"/>
      <c r="B21" s="64"/>
      <c r="C21" s="36"/>
      <c r="D21" s="13" t="s">
        <v>34</v>
      </c>
      <c r="E21" s="37"/>
      <c r="F21" s="58"/>
      <c r="G21" s="58"/>
    </row>
    <row r="22" s="21" customFormat="1" ht="20" customHeight="1" spans="1:7">
      <c r="A22" s="64"/>
      <c r="B22" s="64"/>
      <c r="C22" s="36"/>
      <c r="D22" s="13" t="s">
        <v>661</v>
      </c>
      <c r="E22" s="37"/>
      <c r="F22" s="58"/>
      <c r="G22" s="58"/>
    </row>
    <row r="25" spans="1:7">
      <c r="G25" s="2" t="s">
        <v>681</v>
      </c>
    </row>
  </sheetData>
  <mergeCells count="7"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25"/>
  <sheetViews>
    <sheetView zoomScale="170" zoomScaleNormal="170" workbookViewId="0">
      <selection activeCell="A1" sqref="$A1:$XFD1"/>
    </sheetView>
  </sheetViews>
  <sheetFormatPr defaultColWidth="8.8" defaultRowHeight="12" outlineLevelCol="6"/>
  <cols>
    <col min="1" max="2" width="6.2" customWidth="1"/>
    <col min="3" max="3" width="8.8" style="2" customWidth="1"/>
    <col min="4" max="4" width="19.2" style="2" customWidth="1"/>
    <col min="5" max="5" width="66" style="2" customWidth="1"/>
    <col min="6" max="6" width="5.8" style="2" customWidth="1"/>
    <col min="7" max="16384" width="8.8" style="2"/>
  </cols>
  <sheetData>
    <row r="1" ht="20" customHeight="1" spans="1:7">
      <c r="A1" s="61" t="s">
        <v>0</v>
      </c>
      <c r="B1" s="62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ht="20" customHeight="1" spans="1:7">
      <c r="A2" s="61"/>
      <c r="B2" s="63"/>
      <c r="C2" s="17"/>
      <c r="D2" s="15"/>
      <c r="E2" s="15"/>
      <c r="F2" s="15"/>
      <c r="G2" s="15"/>
    </row>
    <row r="3" s="21" customFormat="1" ht="20" customHeight="1" spans="1:7">
      <c r="A3" s="84" t="s">
        <v>7</v>
      </c>
      <c r="B3" s="65"/>
      <c r="C3" s="44"/>
      <c r="D3" s="45" t="s">
        <v>682</v>
      </c>
      <c r="E3" s="46"/>
      <c r="F3" s="42"/>
      <c r="G3" s="42"/>
    </row>
    <row r="4" s="21" customFormat="1" ht="27" customHeight="1" spans="1:7">
      <c r="A4" s="61">
        <v>1</v>
      </c>
      <c r="B4" s="61">
        <v>2105</v>
      </c>
      <c r="C4" s="15"/>
      <c r="D4" s="46" t="s">
        <v>683</v>
      </c>
      <c r="E4" s="46" t="s">
        <v>684</v>
      </c>
      <c r="F4" s="42" t="s">
        <v>12</v>
      </c>
      <c r="G4" s="42">
        <v>1</v>
      </c>
    </row>
    <row r="5" s="21" customFormat="1" ht="20" customHeight="1" spans="1:7">
      <c r="A5" s="61">
        <v>2</v>
      </c>
      <c r="B5" s="61">
        <v>2105</v>
      </c>
      <c r="C5" s="15"/>
      <c r="D5" s="46" t="s">
        <v>685</v>
      </c>
      <c r="E5" s="46" t="s">
        <v>686</v>
      </c>
      <c r="F5" s="42" t="s">
        <v>12</v>
      </c>
      <c r="G5" s="42">
        <v>1</v>
      </c>
    </row>
    <row r="6" s="21" customFormat="1" ht="20" customHeight="1" spans="1:7">
      <c r="A6" s="61">
        <v>3</v>
      </c>
      <c r="B6" s="61">
        <v>2105</v>
      </c>
      <c r="C6" s="15"/>
      <c r="D6" s="46" t="s">
        <v>687</v>
      </c>
      <c r="E6" s="46" t="s">
        <v>688</v>
      </c>
      <c r="F6" s="42" t="s">
        <v>12</v>
      </c>
      <c r="G6" s="42">
        <v>1</v>
      </c>
    </row>
    <row r="7" s="21" customFormat="1" ht="20" customHeight="1" spans="1:7">
      <c r="A7" s="61">
        <v>4</v>
      </c>
      <c r="B7" s="61">
        <v>2105</v>
      </c>
      <c r="C7" s="15"/>
      <c r="D7" s="46" t="s">
        <v>689</v>
      </c>
      <c r="E7" s="46" t="s">
        <v>690</v>
      </c>
      <c r="F7" s="42" t="s">
        <v>12</v>
      </c>
      <c r="G7" s="42">
        <v>1</v>
      </c>
    </row>
    <row r="8" s="21" customFormat="1" ht="20" customHeight="1" spans="1:7">
      <c r="A8" s="61">
        <v>5</v>
      </c>
      <c r="B8" s="61">
        <v>2105</v>
      </c>
      <c r="C8" s="15"/>
      <c r="D8" s="46" t="s">
        <v>691</v>
      </c>
      <c r="E8" s="46" t="s">
        <v>692</v>
      </c>
      <c r="F8" s="42" t="s">
        <v>12</v>
      </c>
      <c r="G8" s="42">
        <v>1</v>
      </c>
    </row>
    <row r="9" s="21" customFormat="1" ht="20" customHeight="1" spans="1:7">
      <c r="A9" s="61">
        <v>6</v>
      </c>
      <c r="B9" s="61">
        <v>2105</v>
      </c>
      <c r="C9" s="15"/>
      <c r="D9" s="46" t="s">
        <v>693</v>
      </c>
      <c r="E9" s="46" t="s">
        <v>694</v>
      </c>
      <c r="F9" s="42" t="s">
        <v>12</v>
      </c>
      <c r="G9" s="42">
        <v>1</v>
      </c>
    </row>
    <row r="10" s="21" customFormat="1" ht="20" customHeight="1" spans="1:7">
      <c r="A10" s="61">
        <v>7</v>
      </c>
      <c r="B10" s="61">
        <v>2105</v>
      </c>
      <c r="C10" s="15"/>
      <c r="D10" s="46" t="s">
        <v>695</v>
      </c>
      <c r="E10" s="46" t="s">
        <v>696</v>
      </c>
      <c r="F10" s="42" t="s">
        <v>12</v>
      </c>
      <c r="G10" s="42">
        <v>1</v>
      </c>
    </row>
    <row r="11" s="21" customFormat="1" ht="20" customHeight="1" spans="1:7">
      <c r="A11" s="61">
        <v>8</v>
      </c>
      <c r="B11" s="61">
        <v>2105</v>
      </c>
      <c r="C11" s="15"/>
      <c r="D11" s="46" t="s">
        <v>697</v>
      </c>
      <c r="E11" s="46" t="s">
        <v>698</v>
      </c>
      <c r="F11" s="42" t="s">
        <v>23</v>
      </c>
      <c r="G11" s="42">
        <v>1</v>
      </c>
    </row>
    <row r="12" s="21" customFormat="1" ht="20" customHeight="1" spans="1:7">
      <c r="A12" s="61">
        <v>9</v>
      </c>
      <c r="B12" s="61">
        <v>2105</v>
      </c>
      <c r="C12" s="15"/>
      <c r="D12" s="46" t="s">
        <v>699</v>
      </c>
      <c r="E12" s="46" t="s">
        <v>700</v>
      </c>
      <c r="F12" s="42" t="s">
        <v>23</v>
      </c>
      <c r="G12" s="42">
        <v>1</v>
      </c>
    </row>
    <row r="13" s="21" customFormat="1" ht="20" customHeight="1" spans="1:7">
      <c r="A13" s="61">
        <v>10</v>
      </c>
      <c r="B13" s="61">
        <v>2105</v>
      </c>
      <c r="C13" s="15"/>
      <c r="D13" s="46" t="s">
        <v>701</v>
      </c>
      <c r="E13" s="46" t="s">
        <v>702</v>
      </c>
      <c r="F13" s="42" t="s">
        <v>23</v>
      </c>
      <c r="G13" s="42">
        <v>3</v>
      </c>
    </row>
    <row r="14" s="21" customFormat="1" ht="20" customHeight="1" spans="1:7">
      <c r="A14" s="61">
        <v>11</v>
      </c>
      <c r="B14" s="61">
        <v>2105</v>
      </c>
      <c r="C14" s="15"/>
      <c r="D14" s="46" t="s">
        <v>703</v>
      </c>
      <c r="E14" s="46" t="s">
        <v>698</v>
      </c>
      <c r="F14" s="42" t="s">
        <v>12</v>
      </c>
      <c r="G14" s="42">
        <v>1</v>
      </c>
    </row>
    <row r="15" s="21" customFormat="1" ht="20" customHeight="1" spans="1:7">
      <c r="A15" s="61">
        <v>12</v>
      </c>
      <c r="B15" s="61">
        <v>2105</v>
      </c>
      <c r="C15" s="15"/>
      <c r="D15" s="46" t="s">
        <v>704</v>
      </c>
      <c r="E15" s="46" t="s">
        <v>698</v>
      </c>
      <c r="F15" s="42" t="s">
        <v>12</v>
      </c>
      <c r="G15" s="42">
        <v>1</v>
      </c>
    </row>
    <row r="16" s="21" customFormat="1" ht="20" customHeight="1" spans="1:7">
      <c r="A16" s="61">
        <v>13</v>
      </c>
      <c r="B16" s="61">
        <v>2105</v>
      </c>
      <c r="C16" s="15"/>
      <c r="D16" s="46" t="s">
        <v>705</v>
      </c>
      <c r="E16" s="46" t="s">
        <v>702</v>
      </c>
      <c r="F16" s="42" t="s">
        <v>23</v>
      </c>
      <c r="G16" s="42">
        <v>1</v>
      </c>
    </row>
    <row r="17" s="21" customFormat="1" ht="20" customHeight="1" spans="1:7">
      <c r="A17" s="61">
        <v>14</v>
      </c>
      <c r="B17" s="61">
        <v>2105</v>
      </c>
      <c r="C17" s="15"/>
      <c r="D17" s="46" t="s">
        <v>706</v>
      </c>
      <c r="E17" s="46" t="s">
        <v>702</v>
      </c>
      <c r="F17" s="42" t="s">
        <v>12</v>
      </c>
      <c r="G17" s="42">
        <v>1</v>
      </c>
    </row>
    <row r="18" s="21" customFormat="1" ht="20" customHeight="1" spans="1:7">
      <c r="A18" s="61">
        <v>15</v>
      </c>
      <c r="B18" s="61">
        <v>2105</v>
      </c>
      <c r="C18" s="15"/>
      <c r="D18" s="46" t="s">
        <v>707</v>
      </c>
      <c r="E18" s="46" t="s">
        <v>708</v>
      </c>
      <c r="F18" s="42" t="s">
        <v>12</v>
      </c>
      <c r="G18" s="42">
        <v>2</v>
      </c>
    </row>
    <row r="19" s="21" customFormat="1" ht="20" customHeight="1" spans="1:7">
      <c r="A19" s="61"/>
      <c r="B19" s="61"/>
      <c r="C19" s="15"/>
      <c r="D19" s="46"/>
      <c r="E19" s="46"/>
      <c r="F19" s="42"/>
      <c r="G19" s="42"/>
    </row>
    <row r="20" s="21" customFormat="1" ht="20" customHeight="1" spans="1:7">
      <c r="A20" s="64"/>
      <c r="B20" s="64"/>
      <c r="C20" s="36"/>
      <c r="D20" s="13" t="s">
        <v>34</v>
      </c>
      <c r="E20" s="37"/>
      <c r="F20" s="58"/>
      <c r="G20" s="58"/>
    </row>
    <row r="21" s="21" customFormat="1" ht="20" customHeight="1" spans="1:7">
      <c r="A21" s="85" t="s">
        <v>35</v>
      </c>
      <c r="B21" s="61"/>
      <c r="C21" s="15"/>
      <c r="D21" s="46" t="s">
        <v>709</v>
      </c>
      <c r="E21" s="46"/>
      <c r="F21" s="42"/>
      <c r="G21" s="42"/>
    </row>
    <row r="22" s="21" customFormat="1" ht="28" customHeight="1" spans="1:7">
      <c r="A22" s="61">
        <v>1</v>
      </c>
      <c r="B22" s="61"/>
      <c r="C22" s="15"/>
      <c r="D22" s="46" t="s">
        <v>710</v>
      </c>
      <c r="E22" s="46" t="s">
        <v>711</v>
      </c>
      <c r="F22" s="42" t="s">
        <v>12</v>
      </c>
      <c r="G22" s="42">
        <v>3</v>
      </c>
    </row>
    <row r="23" s="21" customFormat="1" ht="20" customHeight="1" spans="1:7">
      <c r="A23" s="61"/>
      <c r="B23" s="61"/>
      <c r="C23" s="15"/>
      <c r="D23" s="46"/>
      <c r="E23" s="46"/>
      <c r="F23" s="42"/>
      <c r="G23" s="42"/>
    </row>
    <row r="24" s="21" customFormat="1" ht="20" customHeight="1" spans="1:7">
      <c r="A24" s="64"/>
      <c r="B24" s="64"/>
      <c r="C24" s="36"/>
      <c r="D24" s="13" t="s">
        <v>34</v>
      </c>
      <c r="E24" s="37"/>
      <c r="F24" s="58"/>
      <c r="G24" s="58"/>
    </row>
    <row r="25" s="21" customFormat="1" ht="20" customHeight="1" spans="1:7">
      <c r="A25" s="64"/>
      <c r="B25" s="64"/>
      <c r="C25" s="36"/>
      <c r="D25" s="13" t="s">
        <v>661</v>
      </c>
      <c r="E25" s="37"/>
      <c r="F25" s="58"/>
      <c r="G25" s="58"/>
    </row>
  </sheetData>
  <mergeCells count="7"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47"/>
  <sheetViews>
    <sheetView zoomScale="150" zoomScaleNormal="150" workbookViewId="0">
      <selection activeCell="A1" sqref="$A1:$XFD1"/>
    </sheetView>
  </sheetViews>
  <sheetFormatPr defaultColWidth="8.8" defaultRowHeight="12" outlineLevelCol="6"/>
  <cols>
    <col min="1" max="2" width="6.2" customWidth="1"/>
    <col min="3" max="3" width="8.8" style="2" customWidth="1"/>
    <col min="4" max="4" width="31.8" style="2" customWidth="1"/>
    <col min="5" max="5" width="66" style="2" customWidth="1"/>
    <col min="6" max="6" width="5.8" style="2" customWidth="1"/>
    <col min="7" max="16384" width="8.8" style="2"/>
  </cols>
  <sheetData>
    <row r="1" ht="20" customHeight="1" spans="1:7">
      <c r="A1" s="61" t="s">
        <v>0</v>
      </c>
      <c r="B1" s="62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ht="20" customHeight="1" spans="1:7">
      <c r="A2" s="61"/>
      <c r="B2" s="63"/>
      <c r="C2" s="17"/>
      <c r="D2" s="15"/>
      <c r="E2" s="15"/>
      <c r="F2" s="15"/>
      <c r="G2" s="15"/>
    </row>
    <row r="3" s="21" customFormat="1" ht="20" customHeight="1" spans="1:7">
      <c r="A3" s="74">
        <v>1</v>
      </c>
      <c r="B3" s="75"/>
      <c r="C3" s="17"/>
      <c r="D3" s="46" t="s">
        <v>712</v>
      </c>
      <c r="E3" s="46"/>
      <c r="F3" s="42"/>
      <c r="G3" s="42"/>
    </row>
    <row r="4" s="21" customFormat="1" ht="36" spans="1:7">
      <c r="A4" s="74">
        <v>1.1</v>
      </c>
      <c r="B4" s="75"/>
      <c r="C4" s="17"/>
      <c r="D4" s="46" t="s">
        <v>713</v>
      </c>
      <c r="E4" s="46" t="s">
        <v>714</v>
      </c>
      <c r="F4" s="42" t="s">
        <v>23</v>
      </c>
      <c r="G4" s="42">
        <v>5</v>
      </c>
    </row>
    <row r="5" s="21" customFormat="1" ht="20" customHeight="1" spans="1:7">
      <c r="A5" s="74">
        <v>1.2</v>
      </c>
      <c r="B5" s="75"/>
      <c r="C5" s="17"/>
      <c r="D5" s="46" t="s">
        <v>715</v>
      </c>
      <c r="E5" s="46"/>
      <c r="F5" s="42"/>
      <c r="G5" s="42"/>
    </row>
    <row r="6" s="21" customFormat="1" ht="20" customHeight="1" spans="1:7">
      <c r="A6" s="86" t="s">
        <v>70</v>
      </c>
      <c r="B6" s="75"/>
      <c r="C6" s="17"/>
      <c r="D6" s="46" t="s">
        <v>716</v>
      </c>
      <c r="E6" s="46" t="s">
        <v>717</v>
      </c>
      <c r="F6" s="42" t="s">
        <v>12</v>
      </c>
      <c r="G6" s="42">
        <v>2</v>
      </c>
    </row>
    <row r="7" s="21" customFormat="1" ht="29" customHeight="1" spans="1:7">
      <c r="A7" s="86" t="s">
        <v>73</v>
      </c>
      <c r="B7" s="75"/>
      <c r="C7" s="17"/>
      <c r="D7" s="46" t="s">
        <v>718</v>
      </c>
      <c r="E7" s="46" t="s">
        <v>719</v>
      </c>
      <c r="F7" s="42" t="s">
        <v>12</v>
      </c>
      <c r="G7" s="42">
        <v>2</v>
      </c>
    </row>
    <row r="8" s="21" customFormat="1" ht="32" customHeight="1" spans="1:7">
      <c r="A8" s="86" t="s">
        <v>76</v>
      </c>
      <c r="B8" s="75"/>
      <c r="C8" s="17"/>
      <c r="D8" s="46" t="s">
        <v>720</v>
      </c>
      <c r="E8" s="46" t="s">
        <v>719</v>
      </c>
      <c r="F8" s="42" t="s">
        <v>12</v>
      </c>
      <c r="G8" s="42">
        <v>0</v>
      </c>
    </row>
    <row r="9" s="21" customFormat="1" ht="20" customHeight="1" spans="1:7">
      <c r="A9" s="86" t="s">
        <v>78</v>
      </c>
      <c r="B9" s="75"/>
      <c r="C9" s="17"/>
      <c r="D9" s="46" t="s">
        <v>721</v>
      </c>
      <c r="E9" s="46" t="s">
        <v>722</v>
      </c>
      <c r="F9" s="42" t="s">
        <v>23</v>
      </c>
      <c r="G9" s="42">
        <v>1</v>
      </c>
    </row>
    <row r="10" s="21" customFormat="1" ht="20" customHeight="1" spans="1:7">
      <c r="A10" s="86" t="s">
        <v>81</v>
      </c>
      <c r="B10" s="75"/>
      <c r="C10" s="17"/>
      <c r="D10" s="46" t="s">
        <v>723</v>
      </c>
      <c r="E10" s="46" t="s">
        <v>719</v>
      </c>
      <c r="F10" s="42" t="s">
        <v>12</v>
      </c>
      <c r="G10" s="42">
        <v>0</v>
      </c>
    </row>
    <row r="11" s="21" customFormat="1" ht="20" customHeight="1" spans="1:7">
      <c r="A11" s="74">
        <v>1.3</v>
      </c>
      <c r="B11" s="75"/>
      <c r="C11" s="17"/>
      <c r="D11" s="46" t="s">
        <v>724</v>
      </c>
      <c r="E11" s="46"/>
      <c r="F11" s="42"/>
      <c r="G11" s="42"/>
    </row>
    <row r="12" s="21" customFormat="1" ht="40" customHeight="1" spans="1:7">
      <c r="A12" s="86" t="s">
        <v>220</v>
      </c>
      <c r="B12" s="74"/>
      <c r="C12" s="15"/>
      <c r="D12" s="46" t="s">
        <v>725</v>
      </c>
      <c r="E12" s="46" t="s">
        <v>726</v>
      </c>
      <c r="F12" s="42" t="s">
        <v>12</v>
      </c>
      <c r="G12" s="42">
        <v>2</v>
      </c>
    </row>
    <row r="13" s="21" customFormat="1" ht="20" customHeight="1" spans="1:7">
      <c r="A13" s="85" t="s">
        <v>246</v>
      </c>
      <c r="B13" s="61"/>
      <c r="C13" s="15"/>
      <c r="D13" s="46" t="s">
        <v>727</v>
      </c>
      <c r="E13" s="46" t="s">
        <v>728</v>
      </c>
      <c r="F13" s="42" t="s">
        <v>12</v>
      </c>
      <c r="G13" s="42">
        <v>1</v>
      </c>
    </row>
    <row r="14" s="21" customFormat="1" ht="20" customHeight="1" spans="1:7">
      <c r="A14" s="85" t="s">
        <v>275</v>
      </c>
      <c r="B14" s="61"/>
      <c r="C14" s="15"/>
      <c r="D14" s="46" t="s">
        <v>729</v>
      </c>
      <c r="E14" s="46" t="s">
        <v>730</v>
      </c>
      <c r="F14" s="42" t="s">
        <v>12</v>
      </c>
      <c r="G14" s="42">
        <v>1</v>
      </c>
    </row>
    <row r="15" s="21" customFormat="1" ht="20" customHeight="1" spans="1:7">
      <c r="A15" s="85" t="s">
        <v>280</v>
      </c>
      <c r="B15" s="61"/>
      <c r="C15" s="15"/>
      <c r="D15" s="46" t="s">
        <v>731</v>
      </c>
      <c r="E15" s="46" t="s">
        <v>732</v>
      </c>
      <c r="F15" s="42" t="s">
        <v>12</v>
      </c>
      <c r="G15" s="42">
        <v>1</v>
      </c>
    </row>
    <row r="16" s="21" customFormat="1" ht="20" customHeight="1" spans="1:7">
      <c r="A16" s="61">
        <v>1.4</v>
      </c>
      <c r="B16" s="61"/>
      <c r="C16" s="15"/>
      <c r="D16" s="46" t="s">
        <v>733</v>
      </c>
      <c r="E16" s="46"/>
      <c r="F16" s="42"/>
      <c r="G16" s="42"/>
    </row>
    <row r="17" s="21" customFormat="1" ht="20" customHeight="1" spans="1:7">
      <c r="A17" s="85" t="s">
        <v>445</v>
      </c>
      <c r="B17" s="61"/>
      <c r="C17" s="15"/>
      <c r="D17" s="46" t="s">
        <v>734</v>
      </c>
      <c r="E17" s="46" t="s">
        <v>735</v>
      </c>
      <c r="F17" s="42" t="s">
        <v>23</v>
      </c>
      <c r="G17" s="42">
        <v>1</v>
      </c>
    </row>
    <row r="18" s="21" customFormat="1" ht="20" customHeight="1" spans="1:7">
      <c r="A18" s="85" t="s">
        <v>448</v>
      </c>
      <c r="B18" s="61"/>
      <c r="C18" s="15"/>
      <c r="D18" s="10" t="s">
        <v>736</v>
      </c>
      <c r="E18" s="46" t="s">
        <v>737</v>
      </c>
      <c r="F18" s="42" t="s">
        <v>23</v>
      </c>
      <c r="G18" s="42">
        <v>1</v>
      </c>
    </row>
    <row r="19" s="21" customFormat="1" ht="20" customHeight="1" spans="1:7">
      <c r="A19" s="85" t="s">
        <v>451</v>
      </c>
      <c r="B19" s="61"/>
      <c r="C19" s="15"/>
      <c r="D19" s="10" t="s">
        <v>738</v>
      </c>
      <c r="E19" s="46" t="s">
        <v>739</v>
      </c>
      <c r="F19" s="42" t="s">
        <v>23</v>
      </c>
      <c r="G19" s="42">
        <v>1</v>
      </c>
    </row>
    <row r="20" s="21" customFormat="1" ht="20" customHeight="1" spans="1:7">
      <c r="A20" s="61"/>
      <c r="B20" s="61"/>
      <c r="C20" s="15"/>
      <c r="D20" s="10" t="s">
        <v>740</v>
      </c>
      <c r="E20" s="46"/>
      <c r="F20" s="42" t="s">
        <v>23</v>
      </c>
      <c r="G20" s="42">
        <v>1</v>
      </c>
    </row>
    <row r="21" s="21" customFormat="1" ht="20" customHeight="1" spans="1:7">
      <c r="A21" s="61">
        <v>1.5</v>
      </c>
      <c r="B21" s="61"/>
      <c r="C21" s="15"/>
      <c r="D21" s="10" t="s">
        <v>741</v>
      </c>
      <c r="E21" s="46" t="s">
        <v>742</v>
      </c>
      <c r="F21" s="42" t="s">
        <v>12</v>
      </c>
      <c r="G21" s="42">
        <v>2</v>
      </c>
    </row>
    <row r="22" s="21" customFormat="1" ht="20" customHeight="1" spans="1:7">
      <c r="A22" s="61">
        <v>1.6</v>
      </c>
      <c r="B22" s="61"/>
      <c r="C22" s="15"/>
      <c r="D22" s="10" t="s">
        <v>743</v>
      </c>
      <c r="E22" s="46" t="s">
        <v>744</v>
      </c>
      <c r="F22" s="42" t="s">
        <v>23</v>
      </c>
      <c r="G22" s="42">
        <v>1</v>
      </c>
    </row>
    <row r="23" s="21" customFormat="1" ht="20" customHeight="1" spans="1:7">
      <c r="A23" s="61">
        <v>1.7</v>
      </c>
      <c r="B23" s="61"/>
      <c r="C23" s="15"/>
      <c r="D23" s="10" t="s">
        <v>745</v>
      </c>
      <c r="E23" s="46" t="s">
        <v>746</v>
      </c>
      <c r="F23" s="42" t="s">
        <v>23</v>
      </c>
      <c r="G23" s="42">
        <v>1</v>
      </c>
    </row>
    <row r="24" s="21" customFormat="1" ht="20" customHeight="1" spans="1:7">
      <c r="A24" s="61">
        <v>1.8</v>
      </c>
      <c r="B24" s="61"/>
      <c r="C24" s="15"/>
      <c r="D24" s="10" t="s">
        <v>747</v>
      </c>
      <c r="E24" s="46"/>
      <c r="F24" s="42"/>
      <c r="G24" s="42"/>
    </row>
    <row r="25" s="21" customFormat="1" ht="20" customHeight="1" spans="1:7">
      <c r="A25" s="85" t="s">
        <v>612</v>
      </c>
      <c r="B25" s="61"/>
      <c r="C25" s="15"/>
      <c r="D25" s="10" t="s">
        <v>748</v>
      </c>
      <c r="E25" s="46" t="s">
        <v>749</v>
      </c>
      <c r="F25" s="42" t="s">
        <v>23</v>
      </c>
      <c r="G25" s="42">
        <v>1</v>
      </c>
    </row>
    <row r="26" s="21" customFormat="1" ht="20" customHeight="1" spans="1:7">
      <c r="A26" s="85" t="s">
        <v>615</v>
      </c>
      <c r="B26" s="61"/>
      <c r="C26" s="15"/>
      <c r="D26" s="10" t="s">
        <v>750</v>
      </c>
      <c r="E26" s="46" t="s">
        <v>751</v>
      </c>
      <c r="F26" s="42" t="s">
        <v>12</v>
      </c>
      <c r="G26" s="42">
        <v>2</v>
      </c>
    </row>
    <row r="27" s="21" customFormat="1" ht="20" customHeight="1" spans="1:7">
      <c r="A27" s="85" t="s">
        <v>618</v>
      </c>
      <c r="B27" s="61"/>
      <c r="C27" s="15"/>
      <c r="D27" s="10" t="s">
        <v>752</v>
      </c>
      <c r="E27" s="46" t="s">
        <v>753</v>
      </c>
      <c r="F27" s="42" t="s">
        <v>23</v>
      </c>
      <c r="G27" s="42">
        <v>1</v>
      </c>
    </row>
    <row r="28" s="21" customFormat="1" ht="20" customHeight="1" spans="1:7">
      <c r="A28" s="61"/>
      <c r="B28" s="61"/>
      <c r="C28" s="15"/>
      <c r="D28" s="10" t="s">
        <v>754</v>
      </c>
      <c r="E28" s="46"/>
      <c r="F28" s="42" t="s">
        <v>23</v>
      </c>
      <c r="G28" s="42">
        <v>1</v>
      </c>
    </row>
    <row r="29" s="21" customFormat="1" ht="20" customHeight="1" spans="1:7">
      <c r="A29" s="61">
        <v>2</v>
      </c>
      <c r="B29" s="61"/>
      <c r="C29" s="15"/>
      <c r="D29" s="10" t="s">
        <v>755</v>
      </c>
      <c r="E29" s="46"/>
      <c r="F29" s="42"/>
      <c r="G29" s="42"/>
    </row>
    <row r="30" s="21" customFormat="1" ht="20" customHeight="1" spans="1:7">
      <c r="A30" s="61">
        <v>2.1</v>
      </c>
      <c r="B30" s="61"/>
      <c r="C30" s="15"/>
      <c r="D30" s="10" t="s">
        <v>756</v>
      </c>
      <c r="E30" s="46" t="s">
        <v>757</v>
      </c>
      <c r="F30" s="42" t="s">
        <v>12</v>
      </c>
      <c r="G30" s="42">
        <v>1</v>
      </c>
    </row>
    <row r="31" s="21" customFormat="1" ht="20" customHeight="1" spans="1:7">
      <c r="A31" s="61">
        <v>2.2</v>
      </c>
      <c r="B31" s="61"/>
      <c r="C31" s="15"/>
      <c r="D31" s="10" t="s">
        <v>758</v>
      </c>
      <c r="E31" s="46" t="s">
        <v>759</v>
      </c>
      <c r="F31" s="42" t="s">
        <v>12</v>
      </c>
      <c r="G31" s="42">
        <v>1</v>
      </c>
    </row>
    <row r="32" s="21" customFormat="1" ht="20" customHeight="1" spans="1:7">
      <c r="A32" s="61">
        <v>2.3</v>
      </c>
      <c r="B32" s="61"/>
      <c r="C32" s="15"/>
      <c r="D32" s="10" t="s">
        <v>760</v>
      </c>
      <c r="E32" s="46" t="s">
        <v>761</v>
      </c>
      <c r="F32" s="42" t="s">
        <v>12</v>
      </c>
      <c r="G32" s="42">
        <v>1</v>
      </c>
    </row>
    <row r="33" s="21" customFormat="1" ht="20" customHeight="1" spans="1:7">
      <c r="A33" s="61">
        <v>2.4</v>
      </c>
      <c r="B33" s="61"/>
      <c r="C33" s="15"/>
      <c r="D33" s="10" t="s">
        <v>762</v>
      </c>
      <c r="E33" s="46" t="s">
        <v>763</v>
      </c>
      <c r="F33" s="42" t="s">
        <v>12</v>
      </c>
      <c r="G33" s="42">
        <v>1</v>
      </c>
    </row>
    <row r="34" s="21" customFormat="1" ht="20" customHeight="1" spans="1:7">
      <c r="A34" s="61">
        <v>2.5</v>
      </c>
      <c r="B34" s="61"/>
      <c r="C34" s="15"/>
      <c r="D34" s="10" t="s">
        <v>764</v>
      </c>
      <c r="E34" s="46" t="s">
        <v>765</v>
      </c>
      <c r="F34" s="42" t="s">
        <v>12</v>
      </c>
      <c r="G34" s="42">
        <v>1</v>
      </c>
    </row>
    <row r="35" s="21" customFormat="1" ht="20" customHeight="1" spans="1:7">
      <c r="A35" s="61">
        <v>2.6</v>
      </c>
      <c r="B35" s="61"/>
      <c r="C35" s="15"/>
      <c r="D35" s="10" t="s">
        <v>766</v>
      </c>
      <c r="E35" s="46" t="s">
        <v>767</v>
      </c>
      <c r="F35" s="42" t="s">
        <v>12</v>
      </c>
      <c r="G35" s="42">
        <v>1</v>
      </c>
    </row>
    <row r="36" s="21" customFormat="1" ht="20" customHeight="1" spans="1:7">
      <c r="A36" s="61">
        <v>2.7</v>
      </c>
      <c r="B36" s="61"/>
      <c r="C36" s="15"/>
      <c r="D36" s="10" t="s">
        <v>768</v>
      </c>
      <c r="E36" s="46" t="s">
        <v>769</v>
      </c>
      <c r="F36" s="42" t="s">
        <v>12</v>
      </c>
      <c r="G36" s="42">
        <v>2</v>
      </c>
    </row>
    <row r="37" s="21" customFormat="1" ht="20" customHeight="1" spans="1:7">
      <c r="A37" s="61">
        <v>2.8</v>
      </c>
      <c r="B37" s="61"/>
      <c r="C37" s="15"/>
      <c r="D37" s="10" t="s">
        <v>770</v>
      </c>
      <c r="E37" s="46" t="s">
        <v>771</v>
      </c>
      <c r="F37" s="42" t="s">
        <v>23</v>
      </c>
      <c r="G37" s="42">
        <v>1</v>
      </c>
    </row>
    <row r="38" s="21" customFormat="1" ht="20" customHeight="1" spans="1:7">
      <c r="A38" s="61">
        <v>2.9</v>
      </c>
      <c r="B38" s="61"/>
      <c r="C38" s="15"/>
      <c r="D38" s="10" t="s">
        <v>772</v>
      </c>
      <c r="E38" s="46" t="s">
        <v>773</v>
      </c>
      <c r="F38" s="42" t="s">
        <v>23</v>
      </c>
      <c r="G38" s="42">
        <v>1</v>
      </c>
    </row>
    <row r="39" s="21" customFormat="1" ht="20" customHeight="1" spans="1:7">
      <c r="A39" s="61">
        <v>2.1</v>
      </c>
      <c r="B39" s="61"/>
      <c r="C39" s="15"/>
      <c r="D39" s="10" t="s">
        <v>774</v>
      </c>
      <c r="E39" s="46" t="s">
        <v>732</v>
      </c>
      <c r="F39" s="42" t="s">
        <v>12</v>
      </c>
      <c r="G39" s="42">
        <v>1</v>
      </c>
    </row>
    <row r="40" s="21" customFormat="1" ht="20" customHeight="1" spans="1:7">
      <c r="A40" s="61">
        <v>2.11</v>
      </c>
      <c r="B40" s="61"/>
      <c r="C40" s="15"/>
      <c r="D40" s="10" t="s">
        <v>775</v>
      </c>
      <c r="E40" s="46" t="s">
        <v>730</v>
      </c>
      <c r="F40" s="42" t="s">
        <v>12</v>
      </c>
      <c r="G40" s="42">
        <v>1</v>
      </c>
    </row>
    <row r="41" s="21" customFormat="1" ht="20" customHeight="1" spans="1:7">
      <c r="A41" s="61">
        <v>2.12</v>
      </c>
      <c r="B41" s="61"/>
      <c r="C41" s="15"/>
      <c r="D41" s="10" t="s">
        <v>776</v>
      </c>
      <c r="E41" s="46" t="s">
        <v>777</v>
      </c>
      <c r="F41" s="42" t="s">
        <v>12</v>
      </c>
      <c r="G41" s="42">
        <v>1</v>
      </c>
    </row>
    <row r="42" s="21" customFormat="1" ht="20" customHeight="1" spans="1:7">
      <c r="A42" s="61">
        <v>2.13</v>
      </c>
      <c r="B42" s="61"/>
      <c r="C42" s="15"/>
      <c r="D42" s="10" t="s">
        <v>778</v>
      </c>
      <c r="E42" s="46" t="s">
        <v>779</v>
      </c>
      <c r="F42" s="42" t="s">
        <v>12</v>
      </c>
      <c r="G42" s="42">
        <v>1</v>
      </c>
    </row>
    <row r="43" s="21" customFormat="1" ht="20" customHeight="1" spans="1:7">
      <c r="A43" s="86" t="s">
        <v>76</v>
      </c>
      <c r="B43" s="75"/>
      <c r="C43" s="17"/>
      <c r="D43" s="46" t="s">
        <v>780</v>
      </c>
      <c r="E43" s="46" t="s">
        <v>781</v>
      </c>
      <c r="F43" s="42" t="s">
        <v>12</v>
      </c>
      <c r="G43" s="42">
        <v>1</v>
      </c>
    </row>
    <row r="44" s="21" customFormat="1" ht="20" customHeight="1" spans="1:7">
      <c r="A44" s="86" t="s">
        <v>78</v>
      </c>
      <c r="B44" s="75"/>
      <c r="C44" s="17"/>
      <c r="D44" s="46" t="s">
        <v>782</v>
      </c>
      <c r="E44" s="46" t="s">
        <v>783</v>
      </c>
      <c r="F44" s="42" t="s">
        <v>12</v>
      </c>
      <c r="G44" s="42">
        <v>1</v>
      </c>
    </row>
    <row r="45" s="21" customFormat="1" ht="20" customHeight="1" spans="1:7">
      <c r="A45" s="74"/>
      <c r="B45" s="75"/>
      <c r="C45" s="17"/>
      <c r="D45" s="46"/>
      <c r="E45" s="46"/>
      <c r="F45" s="42"/>
      <c r="G45" s="42"/>
    </row>
    <row r="46" s="21" customFormat="1" ht="20" customHeight="1" spans="1:7">
      <c r="A46" s="61"/>
      <c r="B46" s="61"/>
      <c r="C46" s="15"/>
      <c r="D46" s="10"/>
      <c r="E46" s="46"/>
      <c r="F46" s="42"/>
      <c r="G46" s="42"/>
    </row>
    <row r="47" s="21" customFormat="1" ht="20" customHeight="1" spans="1:7">
      <c r="A47" s="64"/>
      <c r="B47" s="64"/>
      <c r="C47" s="36"/>
      <c r="D47" s="13" t="s">
        <v>661</v>
      </c>
      <c r="E47" s="37"/>
      <c r="F47" s="58"/>
      <c r="G47" s="58"/>
    </row>
  </sheetData>
  <mergeCells count="7"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outlinePr summaryBelow="0"/>
  </sheetPr>
  <dimension ref="A1:G353"/>
  <sheetViews>
    <sheetView showGridLines="0" workbookViewId="0">
      <pane xSplit="4" ySplit="2" topLeftCell="E242" activePane="bottomRight" state="frozen"/>
      <selection/>
      <selection pane="topRight"/>
      <selection pane="bottomLeft"/>
      <selection pane="bottomRight" activeCell="A1" sqref="$A1:$XFD1"/>
    </sheetView>
  </sheetViews>
  <sheetFormatPr defaultColWidth="8.8" defaultRowHeight="20" customHeight="1" outlineLevelCol="6"/>
  <cols>
    <col min="1" max="1" width="6.2" customWidth="1"/>
    <col min="2" max="2" width="9.6" customWidth="1"/>
    <col min="3" max="3" width="8.8" style="2" customWidth="1"/>
    <col min="4" max="4" width="27.4" style="2" customWidth="1"/>
    <col min="5" max="5" width="32.8" style="2" customWidth="1"/>
    <col min="6" max="6" width="8.2" style="60" customWidth="1"/>
    <col min="7" max="7" width="8.8" style="60"/>
    <col min="8" max="16384" width="8.8" style="2"/>
  </cols>
  <sheetData>
    <row r="1" customHeight="1" spans="1:7">
      <c r="A1" s="61" t="s">
        <v>0</v>
      </c>
      <c r="B1" s="62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customHeight="1" spans="1:7">
      <c r="A2" s="61"/>
      <c r="B2" s="63"/>
      <c r="C2" s="17"/>
      <c r="D2" s="15"/>
      <c r="E2" s="15"/>
      <c r="F2" s="15"/>
      <c r="G2" s="15"/>
    </row>
    <row r="3" s="21" customFormat="1" customHeight="1" spans="1:7">
      <c r="A3" s="61"/>
      <c r="B3" s="61">
        <v>2102</v>
      </c>
      <c r="C3" s="15"/>
      <c r="D3" s="45" t="s">
        <v>784</v>
      </c>
      <c r="E3" s="46"/>
      <c r="F3" s="42"/>
      <c r="G3" s="42"/>
    </row>
    <row r="4" s="21" customFormat="1" customHeight="1" spans="1:7">
      <c r="A4" s="61"/>
      <c r="B4" s="61">
        <v>2102</v>
      </c>
      <c r="C4" s="15"/>
      <c r="D4" s="46" t="s">
        <v>785</v>
      </c>
      <c r="E4" s="46" t="s">
        <v>786</v>
      </c>
      <c r="F4" s="42" t="s">
        <v>12</v>
      </c>
      <c r="G4" s="42">
        <v>2</v>
      </c>
    </row>
    <row r="5" s="21" customFormat="1" customHeight="1" spans="1:7">
      <c r="A5" s="61"/>
      <c r="B5" s="61">
        <v>2102</v>
      </c>
      <c r="C5" s="15"/>
      <c r="D5" s="46" t="s">
        <v>787</v>
      </c>
      <c r="E5" s="46" t="s">
        <v>788</v>
      </c>
      <c r="F5" s="42" t="s">
        <v>12</v>
      </c>
      <c r="G5" s="42">
        <v>2</v>
      </c>
    </row>
    <row r="6" s="21" customFormat="1" customHeight="1" spans="1:7">
      <c r="A6" s="61"/>
      <c r="B6" s="61">
        <v>2102</v>
      </c>
      <c r="C6" s="15"/>
      <c r="D6" s="46" t="s">
        <v>789</v>
      </c>
      <c r="E6" s="46" t="s">
        <v>790</v>
      </c>
      <c r="F6" s="42" t="s">
        <v>12</v>
      </c>
      <c r="G6" s="42">
        <v>2</v>
      </c>
    </row>
    <row r="7" s="21" customFormat="1" customHeight="1" spans="1:7">
      <c r="A7" s="61"/>
      <c r="B7" s="61">
        <v>2102</v>
      </c>
      <c r="C7" s="15"/>
      <c r="D7" s="46" t="s">
        <v>791</v>
      </c>
      <c r="E7" s="46" t="s">
        <v>792</v>
      </c>
      <c r="F7" s="42" t="s">
        <v>12</v>
      </c>
      <c r="G7" s="42">
        <v>1</v>
      </c>
    </row>
    <row r="8" s="21" customFormat="1" customHeight="1" spans="1:7">
      <c r="A8" s="61"/>
      <c r="B8" s="61">
        <v>2102</v>
      </c>
      <c r="C8" s="15"/>
      <c r="D8" s="46" t="s">
        <v>793</v>
      </c>
      <c r="E8" s="46" t="s">
        <v>792</v>
      </c>
      <c r="F8" s="42" t="s">
        <v>12</v>
      </c>
      <c r="G8" s="42">
        <v>1</v>
      </c>
    </row>
    <row r="9" s="21" customFormat="1" customHeight="1" spans="1:7">
      <c r="A9" s="61"/>
      <c r="B9" s="61">
        <v>2102</v>
      </c>
      <c r="C9" s="15"/>
      <c r="D9" s="46" t="s">
        <v>794</v>
      </c>
      <c r="E9" s="46" t="s">
        <v>795</v>
      </c>
      <c r="F9" s="42" t="s">
        <v>12</v>
      </c>
      <c r="G9" s="42">
        <v>1</v>
      </c>
    </row>
    <row r="10" s="21" customFormat="1" customHeight="1" spans="1:7">
      <c r="A10" s="61"/>
      <c r="B10" s="61">
        <v>2102</v>
      </c>
      <c r="C10" s="15"/>
      <c r="D10" s="10" t="s">
        <v>796</v>
      </c>
      <c r="E10" s="10" t="s">
        <v>797</v>
      </c>
      <c r="F10" s="11" t="s">
        <v>12</v>
      </c>
      <c r="G10" s="11">
        <v>1</v>
      </c>
    </row>
    <row r="11" s="21" customFormat="1" customHeight="1" spans="1:7">
      <c r="A11" s="61"/>
      <c r="B11" s="61">
        <v>2102</v>
      </c>
      <c r="C11" s="15"/>
      <c r="D11" s="10" t="s">
        <v>798</v>
      </c>
      <c r="E11" s="10" t="s">
        <v>799</v>
      </c>
      <c r="F11" s="11" t="s">
        <v>12</v>
      </c>
      <c r="G11" s="11">
        <v>1</v>
      </c>
    </row>
    <row r="12" s="21" customFormat="1" customHeight="1" spans="1:7">
      <c r="A12" s="61"/>
      <c r="B12" s="61">
        <v>2102</v>
      </c>
      <c r="C12" s="15"/>
      <c r="D12" s="10" t="s">
        <v>800</v>
      </c>
      <c r="E12" s="10" t="s">
        <v>801</v>
      </c>
      <c r="F12" s="11" t="s">
        <v>12</v>
      </c>
      <c r="G12" s="11">
        <v>1</v>
      </c>
    </row>
    <row r="13" s="21" customFormat="1" customHeight="1" spans="1:7">
      <c r="A13" s="61"/>
      <c r="B13" s="61">
        <v>2102</v>
      </c>
      <c r="C13" s="15"/>
      <c r="D13" s="10" t="s">
        <v>802</v>
      </c>
      <c r="E13" s="10" t="s">
        <v>803</v>
      </c>
      <c r="F13" s="11" t="s">
        <v>12</v>
      </c>
      <c r="G13" s="11">
        <v>1</v>
      </c>
    </row>
    <row r="14" s="21" customFormat="1" customHeight="1" spans="1:7">
      <c r="A14" s="61"/>
      <c r="B14" s="61">
        <v>2102</v>
      </c>
      <c r="C14" s="15"/>
      <c r="D14" s="10" t="s">
        <v>804</v>
      </c>
      <c r="E14" s="10" t="s">
        <v>805</v>
      </c>
      <c r="F14" s="11" t="s">
        <v>12</v>
      </c>
      <c r="G14" s="11">
        <v>1</v>
      </c>
    </row>
    <row r="15" s="21" customFormat="1" customHeight="1" spans="1:7">
      <c r="A15" s="61"/>
      <c r="B15" s="61">
        <v>2102</v>
      </c>
      <c r="C15" s="15"/>
      <c r="D15" s="10" t="s">
        <v>806</v>
      </c>
      <c r="E15" s="10" t="s">
        <v>807</v>
      </c>
      <c r="F15" s="11" t="s">
        <v>12</v>
      </c>
      <c r="G15" s="11">
        <v>10</v>
      </c>
    </row>
    <row r="16" s="21" customFormat="1" customHeight="1" spans="1:7">
      <c r="A16" s="61"/>
      <c r="B16" s="61">
        <v>2102</v>
      </c>
      <c r="C16" s="15"/>
      <c r="D16" s="10" t="s">
        <v>806</v>
      </c>
      <c r="E16" s="10" t="s">
        <v>808</v>
      </c>
      <c r="F16" s="11" t="s">
        <v>12</v>
      </c>
      <c r="G16" s="11">
        <v>20</v>
      </c>
    </row>
    <row r="17" s="21" customFormat="1" customHeight="1" spans="1:7">
      <c r="A17" s="61"/>
      <c r="B17" s="61">
        <v>2102</v>
      </c>
      <c r="C17" s="15"/>
      <c r="D17" s="46" t="s">
        <v>809</v>
      </c>
      <c r="E17" s="46" t="s">
        <v>810</v>
      </c>
      <c r="F17" s="42" t="s">
        <v>12</v>
      </c>
      <c r="G17" s="42">
        <v>30</v>
      </c>
    </row>
    <row r="18" s="21" customFormat="1" customHeight="1" spans="1:7">
      <c r="A18" s="61"/>
      <c r="B18" s="61">
        <v>2102</v>
      </c>
      <c r="C18" s="15"/>
      <c r="D18" s="46" t="s">
        <v>811</v>
      </c>
      <c r="E18" s="46" t="s">
        <v>812</v>
      </c>
      <c r="F18" s="42" t="s">
        <v>12</v>
      </c>
      <c r="G18" s="42">
        <v>10</v>
      </c>
    </row>
    <row r="19" s="21" customFormat="1" customHeight="1" spans="1:7">
      <c r="A19" s="61"/>
      <c r="B19" s="61">
        <v>2102</v>
      </c>
      <c r="C19" s="15"/>
      <c r="D19" s="46" t="s">
        <v>813</v>
      </c>
      <c r="E19" s="46" t="s">
        <v>814</v>
      </c>
      <c r="F19" s="42" t="s">
        <v>12</v>
      </c>
      <c r="G19" s="42">
        <v>2</v>
      </c>
    </row>
    <row r="20" s="21" customFormat="1" customHeight="1" spans="1:7">
      <c r="A20" s="61"/>
      <c r="B20" s="61">
        <v>2102</v>
      </c>
      <c r="C20" s="15"/>
      <c r="D20" s="46" t="s">
        <v>815</v>
      </c>
      <c r="E20" s="46" t="s">
        <v>816</v>
      </c>
      <c r="F20" s="42" t="s">
        <v>12</v>
      </c>
      <c r="G20" s="42">
        <v>2</v>
      </c>
    </row>
    <row r="21" s="21" customFormat="1" customHeight="1" spans="1:7">
      <c r="A21" s="61"/>
      <c r="B21" s="61">
        <v>2102</v>
      </c>
      <c r="C21" s="15"/>
      <c r="D21" s="46" t="s">
        <v>817</v>
      </c>
      <c r="E21" s="46" t="s">
        <v>818</v>
      </c>
      <c r="F21" s="42" t="s">
        <v>12</v>
      </c>
      <c r="G21" s="42">
        <v>2</v>
      </c>
    </row>
    <row r="22" s="21" customFormat="1" customHeight="1" spans="1:7">
      <c r="A22" s="61"/>
      <c r="B22" s="61">
        <v>2102</v>
      </c>
      <c r="C22" s="15"/>
      <c r="D22" s="46" t="s">
        <v>819</v>
      </c>
      <c r="E22" s="46" t="s">
        <v>820</v>
      </c>
      <c r="F22" s="42" t="s">
        <v>12</v>
      </c>
      <c r="G22" s="42">
        <v>2</v>
      </c>
    </row>
    <row r="23" s="21" customFormat="1" customHeight="1" spans="1:7">
      <c r="A23" s="61"/>
      <c r="B23" s="61">
        <v>2102</v>
      </c>
      <c r="C23" s="15"/>
      <c r="D23" s="46" t="s">
        <v>815</v>
      </c>
      <c r="E23" s="46" t="s">
        <v>821</v>
      </c>
      <c r="F23" s="42" t="s">
        <v>12</v>
      </c>
      <c r="G23" s="42">
        <v>2</v>
      </c>
    </row>
    <row r="24" s="21" customFormat="1" customHeight="1" spans="1:7">
      <c r="A24" s="61"/>
      <c r="B24" s="61">
        <v>2102</v>
      </c>
      <c r="C24" s="15"/>
      <c r="D24" s="46" t="s">
        <v>817</v>
      </c>
      <c r="E24" s="46" t="s">
        <v>822</v>
      </c>
      <c r="F24" s="42" t="s">
        <v>12</v>
      </c>
      <c r="G24" s="42">
        <v>2</v>
      </c>
    </row>
    <row r="25" s="21" customFormat="1" customHeight="1" spans="1:7">
      <c r="A25" s="61"/>
      <c r="B25" s="61"/>
      <c r="C25" s="15"/>
      <c r="D25" s="45" t="s">
        <v>823</v>
      </c>
      <c r="E25" s="46"/>
      <c r="F25" s="42"/>
      <c r="G25" s="42"/>
    </row>
    <row r="26" s="21" customFormat="1" customHeight="1" spans="1:7">
      <c r="A26" s="61"/>
      <c r="B26" s="61">
        <v>2102</v>
      </c>
      <c r="C26" s="87" t="s">
        <v>824</v>
      </c>
      <c r="D26" s="46" t="s">
        <v>824</v>
      </c>
      <c r="E26" s="46" t="s">
        <v>825</v>
      </c>
      <c r="F26" s="42" t="s">
        <v>826</v>
      </c>
      <c r="G26" s="42">
        <v>280</v>
      </c>
    </row>
    <row r="27" s="21" customFormat="1" customHeight="1" spans="1:7">
      <c r="A27" s="61"/>
      <c r="B27" s="61">
        <v>2102</v>
      </c>
      <c r="C27" s="87" t="s">
        <v>824</v>
      </c>
      <c r="D27" s="46" t="s">
        <v>824</v>
      </c>
      <c r="E27" s="46" t="s">
        <v>827</v>
      </c>
      <c r="F27" s="42" t="s">
        <v>826</v>
      </c>
      <c r="G27" s="42">
        <v>360</v>
      </c>
    </row>
    <row r="28" s="21" customFormat="1" customHeight="1" spans="1:7">
      <c r="A28" s="61"/>
      <c r="B28" s="61">
        <v>2102</v>
      </c>
      <c r="C28" s="87" t="s">
        <v>824</v>
      </c>
      <c r="D28" s="46" t="s">
        <v>824</v>
      </c>
      <c r="E28" s="46" t="s">
        <v>828</v>
      </c>
      <c r="F28" s="42" t="s">
        <v>826</v>
      </c>
      <c r="G28" s="42">
        <v>180</v>
      </c>
    </row>
    <row r="29" s="21" customFormat="1" customHeight="1" spans="1:7">
      <c r="A29" s="61"/>
      <c r="B29" s="61">
        <v>2102</v>
      </c>
      <c r="C29" s="87" t="s">
        <v>824</v>
      </c>
      <c r="D29" s="46" t="s">
        <v>824</v>
      </c>
      <c r="E29" s="46" t="s">
        <v>828</v>
      </c>
      <c r="F29" s="42" t="s">
        <v>826</v>
      </c>
      <c r="G29" s="42">
        <v>180</v>
      </c>
    </row>
    <row r="30" s="21" customFormat="1" customHeight="1" spans="1:7">
      <c r="A30" s="61"/>
      <c r="B30" s="61">
        <v>2102</v>
      </c>
      <c r="C30" s="87" t="s">
        <v>824</v>
      </c>
      <c r="D30" s="46" t="s">
        <v>824</v>
      </c>
      <c r="E30" s="46" t="s">
        <v>829</v>
      </c>
      <c r="F30" s="42" t="s">
        <v>826</v>
      </c>
      <c r="G30" s="42">
        <v>560</v>
      </c>
    </row>
    <row r="31" s="21" customFormat="1" customHeight="1" spans="1:7">
      <c r="A31" s="61"/>
      <c r="B31" s="61">
        <v>2102</v>
      </c>
      <c r="C31" s="87" t="s">
        <v>824</v>
      </c>
      <c r="D31" s="46" t="s">
        <v>824</v>
      </c>
      <c r="E31" s="46" t="s">
        <v>825</v>
      </c>
      <c r="F31" s="42" t="s">
        <v>826</v>
      </c>
      <c r="G31" s="42">
        <f>360*0</f>
        <v>0</v>
      </c>
    </row>
    <row r="32" s="21" customFormat="1" customHeight="1" spans="1:7">
      <c r="A32" s="61"/>
      <c r="B32" s="61">
        <v>2102</v>
      </c>
      <c r="C32" s="87" t="s">
        <v>824</v>
      </c>
      <c r="D32" s="46" t="s">
        <v>824</v>
      </c>
      <c r="E32" s="46" t="s">
        <v>830</v>
      </c>
      <c r="F32" s="42" t="s">
        <v>826</v>
      </c>
      <c r="G32" s="42">
        <v>100</v>
      </c>
    </row>
    <row r="33" s="21" customFormat="1" customHeight="1" spans="1:7">
      <c r="A33" s="61"/>
      <c r="B33" s="61">
        <v>2102</v>
      </c>
      <c r="C33" s="87" t="s">
        <v>831</v>
      </c>
      <c r="D33" s="46" t="s">
        <v>832</v>
      </c>
      <c r="E33" s="46" t="s">
        <v>828</v>
      </c>
      <c r="F33" s="42" t="s">
        <v>826</v>
      </c>
      <c r="G33" s="42">
        <v>460</v>
      </c>
    </row>
    <row r="34" s="21" customFormat="1" customHeight="1" spans="1:7">
      <c r="A34" s="61"/>
      <c r="B34" s="61">
        <v>2102</v>
      </c>
      <c r="C34" s="87" t="s">
        <v>831</v>
      </c>
      <c r="D34" s="46" t="s">
        <v>832</v>
      </c>
      <c r="E34" s="46" t="s">
        <v>828</v>
      </c>
      <c r="F34" s="42" t="s">
        <v>826</v>
      </c>
      <c r="G34" s="42">
        <v>300</v>
      </c>
    </row>
    <row r="35" s="21" customFormat="1" customHeight="1" spans="1:7">
      <c r="A35" s="61"/>
      <c r="B35" s="61">
        <v>2102</v>
      </c>
      <c r="C35" s="87" t="s">
        <v>831</v>
      </c>
      <c r="D35" s="46" t="s">
        <v>832</v>
      </c>
      <c r="E35" s="46" t="s">
        <v>833</v>
      </c>
      <c r="F35" s="42" t="s">
        <v>826</v>
      </c>
      <c r="G35" s="42">
        <v>300</v>
      </c>
    </row>
    <row r="36" s="21" customFormat="1" customHeight="1" spans="1:7">
      <c r="A36" s="61"/>
      <c r="B36" s="61">
        <v>2102</v>
      </c>
      <c r="C36" s="87" t="s">
        <v>831</v>
      </c>
      <c r="D36" s="46" t="s">
        <v>832</v>
      </c>
      <c r="E36" s="46" t="s">
        <v>834</v>
      </c>
      <c r="F36" s="42" t="s">
        <v>826</v>
      </c>
      <c r="G36" s="42">
        <v>50</v>
      </c>
    </row>
    <row r="37" s="21" customFormat="1" customHeight="1" spans="1:7">
      <c r="A37" s="61"/>
      <c r="B37" s="61">
        <v>2102</v>
      </c>
      <c r="C37" s="15"/>
      <c r="D37" s="46" t="s">
        <v>835</v>
      </c>
      <c r="E37" s="46" t="s">
        <v>836</v>
      </c>
      <c r="F37" s="42" t="s">
        <v>26</v>
      </c>
      <c r="G37" s="42">
        <v>6</v>
      </c>
    </row>
    <row r="38" s="21" customFormat="1" customHeight="1" spans="1:7">
      <c r="A38" s="61"/>
      <c r="B38" s="61">
        <v>2102</v>
      </c>
      <c r="C38" s="15"/>
      <c r="D38" s="46" t="s">
        <v>835</v>
      </c>
      <c r="E38" s="46" t="s">
        <v>837</v>
      </c>
      <c r="F38" s="42" t="s">
        <v>26</v>
      </c>
      <c r="G38" s="42">
        <v>20</v>
      </c>
    </row>
    <row r="39" s="21" customFormat="1" customHeight="1" spans="1:7">
      <c r="A39" s="61"/>
      <c r="B39" s="61">
        <v>2102</v>
      </c>
      <c r="C39" s="15"/>
      <c r="D39" s="46" t="s">
        <v>838</v>
      </c>
      <c r="E39" s="46"/>
      <c r="F39" s="42" t="s">
        <v>23</v>
      </c>
      <c r="G39" s="42">
        <v>20</v>
      </c>
    </row>
    <row r="40" s="21" customFormat="1" customHeight="1" spans="1:7">
      <c r="A40" s="61"/>
      <c r="B40" s="61">
        <v>2102</v>
      </c>
      <c r="C40" s="87" t="s">
        <v>839</v>
      </c>
      <c r="D40" s="46" t="s">
        <v>840</v>
      </c>
      <c r="E40" s="46"/>
      <c r="F40" s="42" t="s">
        <v>841</v>
      </c>
      <c r="G40" s="42">
        <v>300</v>
      </c>
    </row>
    <row r="41" s="21" customFormat="1" customHeight="1" spans="1:7">
      <c r="A41" s="61"/>
      <c r="B41" s="61">
        <v>2102</v>
      </c>
      <c r="C41" s="87" t="s">
        <v>842</v>
      </c>
      <c r="D41" s="46" t="s">
        <v>842</v>
      </c>
      <c r="E41" s="46"/>
      <c r="F41" s="42" t="s">
        <v>843</v>
      </c>
      <c r="G41" s="42">
        <v>3600</v>
      </c>
    </row>
    <row r="42" s="21" customFormat="1" customHeight="1" spans="1:7">
      <c r="A42" s="61"/>
      <c r="B42" s="61">
        <v>2102</v>
      </c>
      <c r="C42" s="87" t="s">
        <v>839</v>
      </c>
      <c r="D42" s="46" t="s">
        <v>840</v>
      </c>
      <c r="E42" s="46"/>
      <c r="F42" s="42" t="s">
        <v>841</v>
      </c>
      <c r="G42" s="42">
        <v>40</v>
      </c>
    </row>
    <row r="43" s="21" customFormat="1" customHeight="1" spans="1:7">
      <c r="A43" s="61"/>
      <c r="B43" s="61">
        <v>2102</v>
      </c>
      <c r="C43" s="87" t="s">
        <v>842</v>
      </c>
      <c r="D43" s="46" t="s">
        <v>842</v>
      </c>
      <c r="E43" s="46"/>
      <c r="F43" s="42" t="s">
        <v>843</v>
      </c>
      <c r="G43" s="42">
        <v>510</v>
      </c>
    </row>
    <row r="44" s="21" customFormat="1" customHeight="1" spans="1:7">
      <c r="A44" s="61"/>
      <c r="B44" s="61">
        <v>2102</v>
      </c>
      <c r="C44" s="87" t="s">
        <v>844</v>
      </c>
      <c r="D44" s="46" t="s">
        <v>844</v>
      </c>
      <c r="E44" s="46" t="s">
        <v>825</v>
      </c>
      <c r="F44" s="42" t="s">
        <v>826</v>
      </c>
      <c r="G44" s="42">
        <v>200</v>
      </c>
    </row>
    <row r="45" s="21" customFormat="1" customHeight="1" spans="1:7">
      <c r="A45" s="61"/>
      <c r="B45" s="61">
        <v>2102</v>
      </c>
      <c r="C45" s="15"/>
      <c r="D45" s="46" t="s">
        <v>845</v>
      </c>
      <c r="E45" s="46" t="s">
        <v>846</v>
      </c>
      <c r="F45" s="42" t="s">
        <v>223</v>
      </c>
      <c r="G45" s="42">
        <v>20</v>
      </c>
    </row>
    <row r="46" s="21" customFormat="1" customHeight="1" spans="1:7">
      <c r="A46" s="61"/>
      <c r="B46" s="61">
        <v>2102</v>
      </c>
      <c r="C46" s="87" t="s">
        <v>847</v>
      </c>
      <c r="D46" s="46" t="s">
        <v>848</v>
      </c>
      <c r="E46" s="46" t="s">
        <v>849</v>
      </c>
      <c r="F46" s="42" t="s">
        <v>826</v>
      </c>
      <c r="G46" s="42">
        <v>200</v>
      </c>
    </row>
    <row r="47" s="21" customFormat="1" customHeight="1" spans="1:7">
      <c r="A47" s="61"/>
      <c r="B47" s="61">
        <v>2102</v>
      </c>
      <c r="C47" s="15"/>
      <c r="D47" s="46" t="s">
        <v>835</v>
      </c>
      <c r="E47" s="46" t="s">
        <v>850</v>
      </c>
      <c r="F47" s="42" t="s">
        <v>26</v>
      </c>
      <c r="G47" s="42">
        <v>10</v>
      </c>
    </row>
    <row r="48" s="21" customFormat="1" customHeight="1" spans="1:7">
      <c r="A48" s="61"/>
      <c r="B48" s="61">
        <v>2102</v>
      </c>
      <c r="C48" s="15"/>
      <c r="D48" s="46" t="s">
        <v>835</v>
      </c>
      <c r="E48" s="46" t="s">
        <v>851</v>
      </c>
      <c r="F48" s="42" t="s">
        <v>26</v>
      </c>
      <c r="G48" s="42">
        <v>10</v>
      </c>
    </row>
    <row r="49" s="21" customFormat="1" customHeight="1" spans="1:7">
      <c r="A49" s="61"/>
      <c r="B49" s="61">
        <v>2102</v>
      </c>
      <c r="C49" s="15"/>
      <c r="D49" s="46" t="s">
        <v>835</v>
      </c>
      <c r="E49" s="46" t="s">
        <v>852</v>
      </c>
      <c r="F49" s="42" t="s">
        <v>26</v>
      </c>
      <c r="G49" s="42">
        <v>20</v>
      </c>
    </row>
    <row r="50" s="21" customFormat="1" customHeight="1" spans="1:7">
      <c r="A50" s="61"/>
      <c r="B50" s="61">
        <v>2102</v>
      </c>
      <c r="C50" s="15"/>
      <c r="D50" s="46" t="s">
        <v>853</v>
      </c>
      <c r="E50" s="46" t="s">
        <v>854</v>
      </c>
      <c r="F50" s="42" t="s">
        <v>26</v>
      </c>
      <c r="G50" s="42">
        <v>20</v>
      </c>
    </row>
    <row r="51" s="21" customFormat="1" customHeight="1" spans="1:7">
      <c r="A51" s="61"/>
      <c r="B51" s="61">
        <v>2102</v>
      </c>
      <c r="C51" s="15"/>
      <c r="D51" s="46" t="s">
        <v>853</v>
      </c>
      <c r="E51" s="46" t="s">
        <v>855</v>
      </c>
      <c r="F51" s="42" t="s">
        <v>26</v>
      </c>
      <c r="G51" s="42">
        <v>25</v>
      </c>
    </row>
    <row r="52" s="21" customFormat="1" customHeight="1" spans="1:7">
      <c r="A52" s="61"/>
      <c r="B52" s="61">
        <v>2102</v>
      </c>
      <c r="C52" s="15"/>
      <c r="D52" s="46" t="s">
        <v>853</v>
      </c>
      <c r="E52" s="46" t="s">
        <v>856</v>
      </c>
      <c r="F52" s="42" t="s">
        <v>26</v>
      </c>
      <c r="G52" s="42">
        <v>30</v>
      </c>
    </row>
    <row r="53" s="21" customFormat="1" customHeight="1" spans="1:7">
      <c r="A53" s="61"/>
      <c r="B53" s="61">
        <v>2102</v>
      </c>
      <c r="C53" s="15"/>
      <c r="D53" s="46" t="s">
        <v>857</v>
      </c>
      <c r="E53" s="46" t="s">
        <v>858</v>
      </c>
      <c r="F53" s="42" t="s">
        <v>23</v>
      </c>
      <c r="G53" s="42">
        <v>20</v>
      </c>
    </row>
    <row r="54" s="21" customFormat="1" customHeight="1" spans="1:7">
      <c r="A54" s="61"/>
      <c r="B54" s="61">
        <v>2102</v>
      </c>
      <c r="C54" s="15"/>
      <c r="D54" s="46" t="s">
        <v>859</v>
      </c>
      <c r="E54" s="46" t="s">
        <v>858</v>
      </c>
      <c r="F54" s="42" t="s">
        <v>23</v>
      </c>
      <c r="G54" s="42">
        <v>10</v>
      </c>
    </row>
    <row r="55" s="21" customFormat="1" customHeight="1" spans="1:7">
      <c r="A55" s="61"/>
      <c r="B55" s="61">
        <v>2102</v>
      </c>
      <c r="C55" s="15"/>
      <c r="D55" s="46" t="s">
        <v>860</v>
      </c>
      <c r="E55" s="46" t="s">
        <v>861</v>
      </c>
      <c r="F55" s="42" t="s">
        <v>23</v>
      </c>
      <c r="G55" s="42">
        <v>20</v>
      </c>
    </row>
    <row r="56" s="21" customFormat="1" customHeight="1" spans="1:7">
      <c r="A56" s="61"/>
      <c r="B56" s="61">
        <v>2102</v>
      </c>
      <c r="C56" s="15"/>
      <c r="D56" s="46" t="s">
        <v>862</v>
      </c>
      <c r="E56" s="46"/>
      <c r="F56" s="42" t="s">
        <v>23</v>
      </c>
      <c r="G56" s="42">
        <v>8</v>
      </c>
    </row>
    <row r="57" s="21" customFormat="1" customHeight="1" spans="1:7">
      <c r="A57" s="61"/>
      <c r="B57" s="61">
        <v>2102</v>
      </c>
      <c r="C57" s="15"/>
      <c r="D57" s="46" t="s">
        <v>863</v>
      </c>
      <c r="E57" s="46" t="s">
        <v>864</v>
      </c>
      <c r="F57" s="42" t="s">
        <v>23</v>
      </c>
      <c r="G57" s="42">
        <v>20</v>
      </c>
    </row>
    <row r="58" s="21" customFormat="1" customHeight="1" spans="1:7">
      <c r="A58" s="61"/>
      <c r="B58" s="61">
        <v>2102</v>
      </c>
      <c r="C58" s="87" t="s">
        <v>865</v>
      </c>
      <c r="D58" s="46" t="s">
        <v>866</v>
      </c>
      <c r="E58" s="46" t="s">
        <v>867</v>
      </c>
      <c r="F58" s="42" t="s">
        <v>868</v>
      </c>
      <c r="G58" s="42">
        <v>10</v>
      </c>
    </row>
    <row r="59" s="21" customFormat="1" customHeight="1" spans="1:7">
      <c r="A59" s="61"/>
      <c r="B59" s="61">
        <v>2102</v>
      </c>
      <c r="C59" s="15"/>
      <c r="D59" s="46" t="s">
        <v>869</v>
      </c>
      <c r="E59" s="46"/>
      <c r="F59" s="42" t="s">
        <v>23</v>
      </c>
      <c r="G59" s="42">
        <v>1</v>
      </c>
    </row>
    <row r="60" s="21" customFormat="1" customHeight="1" spans="1:7">
      <c r="A60" s="61"/>
      <c r="B60" s="61"/>
      <c r="C60" s="15"/>
      <c r="D60" s="46"/>
      <c r="E60" s="46"/>
      <c r="F60" s="42"/>
      <c r="G60" s="42"/>
    </row>
    <row r="61" s="21" customFormat="1" customHeight="1" spans="1:7">
      <c r="A61" s="64"/>
      <c r="B61" s="64"/>
      <c r="C61" s="36"/>
      <c r="D61" s="13" t="s">
        <v>34</v>
      </c>
      <c r="E61" s="37"/>
      <c r="F61" s="58"/>
      <c r="G61" s="58"/>
    </row>
    <row r="62" s="21" customFormat="1" customHeight="1" spans="1:7">
      <c r="A62" s="65"/>
      <c r="B62" s="65"/>
      <c r="C62" s="44"/>
      <c r="D62" s="66" t="s">
        <v>870</v>
      </c>
      <c r="E62" s="66"/>
      <c r="F62" s="62"/>
      <c r="G62" s="62"/>
    </row>
    <row r="63" s="21" customFormat="1" customHeight="1" spans="1:7">
      <c r="A63" s="61"/>
      <c r="B63" s="61">
        <v>2150</v>
      </c>
      <c r="C63" s="15"/>
      <c r="D63" s="67" t="s">
        <v>871</v>
      </c>
      <c r="E63" s="68" t="s">
        <v>872</v>
      </c>
      <c r="F63" s="69" t="s">
        <v>12</v>
      </c>
      <c r="G63" s="69">
        <v>2</v>
      </c>
    </row>
    <row r="64" s="21" customFormat="1" customHeight="1" spans="1:7">
      <c r="A64" s="61"/>
      <c r="B64" s="61">
        <v>2150</v>
      </c>
      <c r="C64" s="15"/>
      <c r="D64" s="70" t="s">
        <v>873</v>
      </c>
      <c r="E64" s="68" t="s">
        <v>874</v>
      </c>
      <c r="F64" s="69" t="s">
        <v>12</v>
      </c>
      <c r="G64" s="69">
        <v>2</v>
      </c>
    </row>
    <row r="65" s="21" customFormat="1" customHeight="1" spans="1:7">
      <c r="A65" s="61"/>
      <c r="B65" s="61">
        <v>2150</v>
      </c>
      <c r="C65" s="15"/>
      <c r="D65" s="70" t="s">
        <v>875</v>
      </c>
      <c r="E65" s="68" t="s">
        <v>876</v>
      </c>
      <c r="F65" s="69" t="s">
        <v>12</v>
      </c>
      <c r="G65" s="69">
        <v>2</v>
      </c>
    </row>
    <row r="66" s="21" customFormat="1" customHeight="1" spans="1:7">
      <c r="A66" s="61"/>
      <c r="B66" s="61">
        <v>2150</v>
      </c>
      <c r="C66" s="15"/>
      <c r="D66" s="70" t="s">
        <v>877</v>
      </c>
      <c r="E66" s="68" t="s">
        <v>878</v>
      </c>
      <c r="F66" s="69" t="s">
        <v>12</v>
      </c>
      <c r="G66" s="69">
        <v>2</v>
      </c>
    </row>
    <row r="67" s="21" customFormat="1" customHeight="1" spans="1:7">
      <c r="A67" s="61"/>
      <c r="B67" s="61">
        <v>2150</v>
      </c>
      <c r="C67" s="15"/>
      <c r="D67" s="70" t="s">
        <v>879</v>
      </c>
      <c r="E67" s="68" t="s">
        <v>880</v>
      </c>
      <c r="F67" s="69" t="s">
        <v>12</v>
      </c>
      <c r="G67" s="69">
        <v>2</v>
      </c>
    </row>
    <row r="68" s="21" customFormat="1" customHeight="1" spans="1:7">
      <c r="A68" s="61"/>
      <c r="B68" s="61">
        <v>2150</v>
      </c>
      <c r="C68" s="15"/>
      <c r="D68" s="70" t="s">
        <v>881</v>
      </c>
      <c r="E68" s="68" t="s">
        <v>882</v>
      </c>
      <c r="F68" s="69" t="s">
        <v>12</v>
      </c>
      <c r="G68" s="69">
        <v>2</v>
      </c>
    </row>
    <row r="69" s="21" customFormat="1" customHeight="1" spans="1:7">
      <c r="A69" s="61"/>
      <c r="B69" s="61">
        <v>2150</v>
      </c>
      <c r="C69" s="15"/>
      <c r="D69" s="68" t="s">
        <v>883</v>
      </c>
      <c r="E69" s="68" t="s">
        <v>884</v>
      </c>
      <c r="F69" s="69" t="s">
        <v>12</v>
      </c>
      <c r="G69" s="69">
        <v>2</v>
      </c>
    </row>
    <row r="70" s="21" customFormat="1" customHeight="1" spans="1:7">
      <c r="A70" s="61"/>
      <c r="B70" s="61">
        <v>2150</v>
      </c>
      <c r="C70" s="15"/>
      <c r="D70" s="67" t="s">
        <v>885</v>
      </c>
      <c r="E70" s="68" t="s">
        <v>886</v>
      </c>
      <c r="F70" s="69" t="s">
        <v>12</v>
      </c>
      <c r="G70" s="69">
        <v>1</v>
      </c>
    </row>
    <row r="71" s="21" customFormat="1" customHeight="1" spans="1:7">
      <c r="A71" s="61"/>
      <c r="B71" s="61">
        <v>2150</v>
      </c>
      <c r="C71" s="15"/>
      <c r="D71" s="68" t="s">
        <v>887</v>
      </c>
      <c r="E71" s="68" t="s">
        <v>888</v>
      </c>
      <c r="F71" s="69" t="s">
        <v>12</v>
      </c>
      <c r="G71" s="69">
        <v>3</v>
      </c>
    </row>
    <row r="72" s="21" customFormat="1" customHeight="1" spans="1:7">
      <c r="A72" s="61"/>
      <c r="B72" s="61">
        <v>2150</v>
      </c>
      <c r="C72" s="15"/>
      <c r="D72" s="67" t="s">
        <v>889</v>
      </c>
      <c r="E72" s="68" t="s">
        <v>890</v>
      </c>
      <c r="F72" s="69" t="s">
        <v>23</v>
      </c>
      <c r="G72" s="69">
        <v>0</v>
      </c>
    </row>
    <row r="73" s="21" customFormat="1" customHeight="1" spans="1:7">
      <c r="A73" s="61"/>
      <c r="B73" s="61">
        <v>2150</v>
      </c>
      <c r="C73" s="15"/>
      <c r="D73" s="68" t="s">
        <v>891</v>
      </c>
      <c r="E73" s="68" t="s">
        <v>892</v>
      </c>
      <c r="F73" s="69" t="s">
        <v>12</v>
      </c>
      <c r="G73" s="69">
        <v>0</v>
      </c>
    </row>
    <row r="74" s="21" customFormat="1" ht="38" customHeight="1" spans="1:7">
      <c r="A74" s="61"/>
      <c r="B74" s="61">
        <v>2150</v>
      </c>
      <c r="C74" s="15"/>
      <c r="D74" s="67" t="s">
        <v>893</v>
      </c>
      <c r="E74" s="68" t="s">
        <v>894</v>
      </c>
      <c r="F74" s="69" t="s">
        <v>12</v>
      </c>
      <c r="G74" s="69">
        <v>2</v>
      </c>
    </row>
    <row r="75" s="21" customFormat="1" ht="38" customHeight="1" spans="1:7">
      <c r="A75" s="61"/>
      <c r="B75" s="61">
        <v>2150</v>
      </c>
      <c r="C75" s="15"/>
      <c r="D75" s="70" t="s">
        <v>895</v>
      </c>
      <c r="E75" s="68" t="s">
        <v>896</v>
      </c>
      <c r="F75" s="69" t="s">
        <v>12</v>
      </c>
      <c r="G75" s="69">
        <v>2</v>
      </c>
    </row>
    <row r="76" s="21" customFormat="1" ht="38" customHeight="1" spans="1:7">
      <c r="A76" s="61"/>
      <c r="B76" s="61">
        <v>2150</v>
      </c>
      <c r="C76" s="15"/>
      <c r="D76" s="70" t="s">
        <v>897</v>
      </c>
      <c r="E76" s="68" t="s">
        <v>898</v>
      </c>
      <c r="F76" s="69" t="s">
        <v>12</v>
      </c>
      <c r="G76" s="69">
        <v>2</v>
      </c>
    </row>
    <row r="77" s="21" customFormat="1" ht="38" customHeight="1" spans="1:7">
      <c r="A77" s="61"/>
      <c r="B77" s="61">
        <v>2150</v>
      </c>
      <c r="C77" s="15"/>
      <c r="D77" s="70" t="s">
        <v>899</v>
      </c>
      <c r="E77" s="68" t="s">
        <v>900</v>
      </c>
      <c r="F77" s="69" t="s">
        <v>12</v>
      </c>
      <c r="G77" s="69">
        <v>2</v>
      </c>
    </row>
    <row r="78" s="21" customFormat="1" ht="38" customHeight="1" spans="1:7">
      <c r="A78" s="61"/>
      <c r="B78" s="61">
        <v>2150</v>
      </c>
      <c r="C78" s="15"/>
      <c r="D78" s="70" t="s">
        <v>901</v>
      </c>
      <c r="E78" s="68" t="s">
        <v>902</v>
      </c>
      <c r="F78" s="69" t="s">
        <v>12</v>
      </c>
      <c r="G78" s="69">
        <v>2</v>
      </c>
    </row>
    <row r="79" s="21" customFormat="1" ht="38" customHeight="1" spans="1:7">
      <c r="A79" s="61"/>
      <c r="B79" s="61">
        <v>2150</v>
      </c>
      <c r="C79" s="15"/>
      <c r="D79" s="70" t="s">
        <v>903</v>
      </c>
      <c r="E79" s="68" t="s">
        <v>904</v>
      </c>
      <c r="F79" s="69" t="s">
        <v>12</v>
      </c>
      <c r="G79" s="69">
        <v>2</v>
      </c>
    </row>
    <row r="80" s="21" customFormat="1" ht="38" customHeight="1" spans="1:7">
      <c r="A80" s="61"/>
      <c r="B80" s="61">
        <v>2150</v>
      </c>
      <c r="C80" s="15"/>
      <c r="D80" s="68" t="s">
        <v>905</v>
      </c>
      <c r="E80" s="68" t="s">
        <v>906</v>
      </c>
      <c r="F80" s="69" t="s">
        <v>12</v>
      </c>
      <c r="G80" s="69">
        <v>2</v>
      </c>
    </row>
    <row r="81" s="21" customFormat="1" customHeight="1" spans="1:7">
      <c r="A81" s="61"/>
      <c r="B81" s="61">
        <v>2150</v>
      </c>
      <c r="C81" s="15"/>
      <c r="D81" s="67" t="s">
        <v>907</v>
      </c>
      <c r="E81" s="68" t="s">
        <v>908</v>
      </c>
      <c r="F81" s="69" t="s">
        <v>12</v>
      </c>
      <c r="G81" s="69">
        <v>1</v>
      </c>
    </row>
    <row r="82" s="21" customFormat="1" customHeight="1" spans="1:7">
      <c r="A82" s="61"/>
      <c r="B82" s="61">
        <v>2150</v>
      </c>
      <c r="C82" s="15"/>
      <c r="D82" s="68" t="s">
        <v>909</v>
      </c>
      <c r="E82" s="68" t="s">
        <v>906</v>
      </c>
      <c r="F82" s="69" t="s">
        <v>12</v>
      </c>
      <c r="G82" s="69">
        <v>3</v>
      </c>
    </row>
    <row r="83" s="21" customFormat="1" customHeight="1" spans="1:7">
      <c r="A83" s="61"/>
      <c r="B83" s="61">
        <v>2150</v>
      </c>
      <c r="C83" s="15"/>
      <c r="D83" s="67" t="s">
        <v>910</v>
      </c>
      <c r="E83" s="68" t="s">
        <v>911</v>
      </c>
      <c r="F83" s="69" t="s">
        <v>23</v>
      </c>
      <c r="G83" s="69">
        <v>0</v>
      </c>
    </row>
    <row r="84" s="21" customFormat="1" customHeight="1" spans="1:7">
      <c r="A84" s="61"/>
      <c r="B84" s="61">
        <v>2150</v>
      </c>
      <c r="C84" s="15"/>
      <c r="D84" s="68" t="s">
        <v>891</v>
      </c>
      <c r="E84" s="68" t="s">
        <v>912</v>
      </c>
      <c r="F84" s="69" t="s">
        <v>12</v>
      </c>
      <c r="G84" s="69">
        <v>0</v>
      </c>
    </row>
    <row r="85" s="21" customFormat="1" customHeight="1" spans="1:7">
      <c r="A85" s="61"/>
      <c r="B85" s="61"/>
      <c r="C85" s="15"/>
      <c r="D85" s="68" t="s">
        <v>913</v>
      </c>
      <c r="E85" s="68" t="s">
        <v>914</v>
      </c>
      <c r="F85" s="69" t="s">
        <v>12</v>
      </c>
      <c r="G85" s="69">
        <v>1</v>
      </c>
    </row>
    <row r="86" s="21" customFormat="1" customHeight="1" spans="1:7">
      <c r="A86" s="61"/>
      <c r="B86" s="61"/>
      <c r="C86" s="15"/>
      <c r="D86" s="68" t="s">
        <v>915</v>
      </c>
      <c r="E86" s="68" t="s">
        <v>916</v>
      </c>
      <c r="F86" s="69" t="s">
        <v>12</v>
      </c>
      <c r="G86" s="69">
        <v>1</v>
      </c>
    </row>
    <row r="87" s="21" customFormat="1" customHeight="1" spans="1:7">
      <c r="A87" s="61"/>
      <c r="B87" s="61"/>
      <c r="C87" s="15"/>
      <c r="D87" s="68" t="s">
        <v>917</v>
      </c>
      <c r="E87" s="68" t="s">
        <v>918</v>
      </c>
      <c r="F87" s="69" t="s">
        <v>12</v>
      </c>
      <c r="G87" s="69">
        <v>1</v>
      </c>
    </row>
    <row r="88" s="21" customFormat="1" customHeight="1" spans="1:7">
      <c r="A88" s="61"/>
      <c r="B88" s="61"/>
      <c r="C88" s="15"/>
      <c r="D88" s="68" t="s">
        <v>919</v>
      </c>
      <c r="E88" s="68" t="s">
        <v>920</v>
      </c>
      <c r="F88" s="69" t="s">
        <v>12</v>
      </c>
      <c r="G88" s="69">
        <v>1</v>
      </c>
    </row>
    <row r="89" s="21" customFormat="1" customHeight="1" spans="1:7">
      <c r="A89" s="61"/>
      <c r="B89" s="61"/>
      <c r="C89" s="15"/>
      <c r="D89" s="68" t="s">
        <v>915</v>
      </c>
      <c r="E89" s="68" t="s">
        <v>921</v>
      </c>
      <c r="F89" s="69" t="s">
        <v>12</v>
      </c>
      <c r="G89" s="69">
        <v>1</v>
      </c>
    </row>
    <row r="90" s="21" customFormat="1" customHeight="1" spans="1:7">
      <c r="A90" s="61"/>
      <c r="B90" s="61"/>
      <c r="C90" s="15"/>
      <c r="D90" s="68" t="s">
        <v>917</v>
      </c>
      <c r="E90" s="68" t="s">
        <v>922</v>
      </c>
      <c r="F90" s="69" t="s">
        <v>12</v>
      </c>
      <c r="G90" s="69">
        <v>1</v>
      </c>
    </row>
    <row r="91" s="21" customFormat="1" ht="72" spans="1:7">
      <c r="A91" s="61"/>
      <c r="B91" s="61">
        <v>2150</v>
      </c>
      <c r="C91" s="15"/>
      <c r="D91" s="68" t="s">
        <v>923</v>
      </c>
      <c r="E91" s="68" t="s">
        <v>924</v>
      </c>
      <c r="F91" s="69" t="s">
        <v>12</v>
      </c>
      <c r="G91" s="69">
        <v>1</v>
      </c>
    </row>
    <row r="92" s="21" customFormat="1" customHeight="1" spans="1:7">
      <c r="A92" s="61"/>
      <c r="B92" s="61">
        <v>2150</v>
      </c>
      <c r="C92" s="15"/>
      <c r="D92" s="68" t="s">
        <v>925</v>
      </c>
      <c r="E92" s="68" t="s">
        <v>926</v>
      </c>
      <c r="F92" s="69" t="s">
        <v>12</v>
      </c>
      <c r="G92" s="69">
        <v>1</v>
      </c>
    </row>
    <row r="93" s="21" customFormat="1" customHeight="1" spans="1:7">
      <c r="A93" s="61"/>
      <c r="B93" s="61">
        <v>2150</v>
      </c>
      <c r="C93" s="15"/>
      <c r="D93" s="68" t="s">
        <v>925</v>
      </c>
      <c r="E93" s="68" t="s">
        <v>927</v>
      </c>
      <c r="F93" s="69" t="s">
        <v>12</v>
      </c>
      <c r="G93" s="69">
        <v>1</v>
      </c>
    </row>
    <row r="94" s="21" customFormat="1" customHeight="1" spans="1:7">
      <c r="A94" s="61"/>
      <c r="B94" s="61">
        <v>2150</v>
      </c>
      <c r="C94" s="15"/>
      <c r="D94" s="68" t="s">
        <v>928</v>
      </c>
      <c r="E94" s="68" t="s">
        <v>929</v>
      </c>
      <c r="F94" s="69" t="s">
        <v>12</v>
      </c>
      <c r="G94" s="69">
        <v>1</v>
      </c>
    </row>
    <row r="95" s="21" customFormat="1" customHeight="1" spans="1:7">
      <c r="A95" s="61"/>
      <c r="B95" s="61">
        <v>2150</v>
      </c>
      <c r="C95" s="15"/>
      <c r="D95" s="68" t="s">
        <v>930</v>
      </c>
      <c r="E95" s="68" t="s">
        <v>931</v>
      </c>
      <c r="F95" s="69" t="s">
        <v>23</v>
      </c>
      <c r="G95" s="69">
        <v>2</v>
      </c>
    </row>
    <row r="96" s="21" customFormat="1" customHeight="1" spans="1:7">
      <c r="A96" s="61"/>
      <c r="B96" s="61">
        <v>2150</v>
      </c>
      <c r="C96" s="15"/>
      <c r="D96" s="68" t="s">
        <v>932</v>
      </c>
      <c r="E96" s="68" t="s">
        <v>933</v>
      </c>
      <c r="F96" s="69" t="s">
        <v>12</v>
      </c>
      <c r="G96" s="69">
        <v>1</v>
      </c>
    </row>
    <row r="97" s="21" customFormat="1" customHeight="1" spans="1:7">
      <c r="A97" s="61"/>
      <c r="B97" s="61">
        <v>2150</v>
      </c>
      <c r="C97" s="15"/>
      <c r="D97" s="68" t="s">
        <v>934</v>
      </c>
      <c r="E97" s="68" t="s">
        <v>935</v>
      </c>
      <c r="F97" s="69" t="s">
        <v>12</v>
      </c>
      <c r="G97" s="69">
        <v>1</v>
      </c>
    </row>
    <row r="98" s="21" customFormat="1" customHeight="1" spans="1:7">
      <c r="A98" s="61"/>
      <c r="B98" s="61">
        <v>2150</v>
      </c>
      <c r="C98" s="15"/>
      <c r="D98" s="68" t="s">
        <v>936</v>
      </c>
      <c r="E98" s="68" t="s">
        <v>937</v>
      </c>
      <c r="F98" s="69" t="s">
        <v>12</v>
      </c>
      <c r="G98" s="69">
        <v>0</v>
      </c>
    </row>
    <row r="99" s="21" customFormat="1" customHeight="1" spans="1:7">
      <c r="A99" s="61"/>
      <c r="B99" s="61"/>
      <c r="C99" s="15"/>
      <c r="D99" s="67" t="s">
        <v>938</v>
      </c>
      <c r="E99" s="70"/>
      <c r="F99" s="69"/>
      <c r="G99" s="69"/>
    </row>
    <row r="100" s="21" customFormat="1" customHeight="1" spans="1:7">
      <c r="A100" s="61"/>
      <c r="B100" s="61">
        <v>2150</v>
      </c>
      <c r="C100" s="15"/>
      <c r="D100" s="67" t="s">
        <v>939</v>
      </c>
      <c r="E100" s="68" t="s">
        <v>940</v>
      </c>
      <c r="F100" s="69" t="s">
        <v>12</v>
      </c>
      <c r="G100" s="69">
        <v>2</v>
      </c>
    </row>
    <row r="101" s="21" customFormat="1" customHeight="1" spans="1:7">
      <c r="A101" s="61"/>
      <c r="B101" s="61">
        <v>2150</v>
      </c>
      <c r="C101" s="15"/>
      <c r="D101" s="70" t="s">
        <v>941</v>
      </c>
      <c r="E101" s="68" t="s">
        <v>792</v>
      </c>
      <c r="F101" s="69" t="s">
        <v>12</v>
      </c>
      <c r="G101" s="69">
        <v>2</v>
      </c>
    </row>
    <row r="102" s="21" customFormat="1" customHeight="1" spans="1:7">
      <c r="A102" s="61"/>
      <c r="B102" s="61">
        <v>2150</v>
      </c>
      <c r="C102" s="15"/>
      <c r="D102" s="70" t="s">
        <v>942</v>
      </c>
      <c r="E102" s="68" t="s">
        <v>943</v>
      </c>
      <c r="F102" s="69" t="s">
        <v>12</v>
      </c>
      <c r="G102" s="69">
        <v>2</v>
      </c>
    </row>
    <row r="103" s="21" customFormat="1" customHeight="1" spans="1:7">
      <c r="A103" s="61"/>
      <c r="B103" s="61">
        <v>2150</v>
      </c>
      <c r="C103" s="15"/>
      <c r="D103" s="70" t="s">
        <v>944</v>
      </c>
      <c r="E103" s="68" t="s">
        <v>945</v>
      </c>
      <c r="F103" s="69" t="s">
        <v>12</v>
      </c>
      <c r="G103" s="69">
        <v>2</v>
      </c>
    </row>
    <row r="104" s="21" customFormat="1" customHeight="1" spans="1:7">
      <c r="A104" s="61"/>
      <c r="B104" s="61">
        <v>2150</v>
      </c>
      <c r="C104" s="15"/>
      <c r="D104" s="70" t="s">
        <v>946</v>
      </c>
      <c r="E104" s="68" t="s">
        <v>947</v>
      </c>
      <c r="F104" s="69" t="s">
        <v>12</v>
      </c>
      <c r="G104" s="69">
        <v>2</v>
      </c>
    </row>
    <row r="105" s="21" customFormat="1" customHeight="1" spans="1:7">
      <c r="A105" s="61"/>
      <c r="B105" s="61">
        <v>2150</v>
      </c>
      <c r="C105" s="15"/>
      <c r="D105" s="70" t="s">
        <v>948</v>
      </c>
      <c r="E105" s="68" t="s">
        <v>949</v>
      </c>
      <c r="F105" s="69" t="s">
        <v>12</v>
      </c>
      <c r="G105" s="69">
        <v>2</v>
      </c>
    </row>
    <row r="106" s="21" customFormat="1" customHeight="1" spans="1:7">
      <c r="A106" s="61"/>
      <c r="B106" s="61">
        <v>2150</v>
      </c>
      <c r="C106" s="15"/>
      <c r="D106" s="68" t="s">
        <v>950</v>
      </c>
      <c r="E106" s="68" t="s">
        <v>951</v>
      </c>
      <c r="F106" s="69" t="s">
        <v>12</v>
      </c>
      <c r="G106" s="69">
        <v>2</v>
      </c>
    </row>
    <row r="107" s="21" customFormat="1" customHeight="1" spans="1:7">
      <c r="A107" s="61"/>
      <c r="B107" s="61">
        <v>2150</v>
      </c>
      <c r="C107" s="15"/>
      <c r="D107" s="67" t="s">
        <v>952</v>
      </c>
      <c r="E107" s="68" t="s">
        <v>953</v>
      </c>
      <c r="F107" s="69" t="s">
        <v>12</v>
      </c>
      <c r="G107" s="69">
        <v>1</v>
      </c>
    </row>
    <row r="108" s="21" customFormat="1" customHeight="1" spans="1:7">
      <c r="A108" s="61"/>
      <c r="B108" s="61">
        <v>2150</v>
      </c>
      <c r="C108" s="15"/>
      <c r="D108" s="68" t="s">
        <v>954</v>
      </c>
      <c r="E108" s="68" t="s">
        <v>955</v>
      </c>
      <c r="F108" s="69" t="s">
        <v>12</v>
      </c>
      <c r="G108" s="69">
        <v>3</v>
      </c>
    </row>
    <row r="109" s="21" customFormat="1" customHeight="1" spans="1:7">
      <c r="A109" s="61"/>
      <c r="B109" s="61">
        <v>2150</v>
      </c>
      <c r="C109" s="15"/>
      <c r="D109" s="67" t="s">
        <v>956</v>
      </c>
      <c r="E109" s="68" t="s">
        <v>957</v>
      </c>
      <c r="F109" s="69" t="s">
        <v>12</v>
      </c>
      <c r="G109" s="69">
        <v>2</v>
      </c>
    </row>
    <row r="110" s="21" customFormat="1" customHeight="1" spans="1:7">
      <c r="A110" s="61"/>
      <c r="B110" s="61">
        <v>2150</v>
      </c>
      <c r="C110" s="15"/>
      <c r="D110" s="70" t="s">
        <v>958</v>
      </c>
      <c r="E110" s="68" t="s">
        <v>959</v>
      </c>
      <c r="F110" s="69" t="s">
        <v>12</v>
      </c>
      <c r="G110" s="69">
        <v>2</v>
      </c>
    </row>
    <row r="111" s="21" customFormat="1" customHeight="1" spans="1:7">
      <c r="A111" s="61"/>
      <c r="B111" s="61">
        <v>2150</v>
      </c>
      <c r="C111" s="15"/>
      <c r="D111" s="70" t="s">
        <v>960</v>
      </c>
      <c r="E111" s="68" t="s">
        <v>961</v>
      </c>
      <c r="F111" s="69" t="s">
        <v>12</v>
      </c>
      <c r="G111" s="69">
        <v>2</v>
      </c>
    </row>
    <row r="112" s="21" customFormat="1" customHeight="1" spans="1:7">
      <c r="A112" s="61"/>
      <c r="B112" s="61">
        <v>2150</v>
      </c>
      <c r="C112" s="15"/>
      <c r="D112" s="70" t="s">
        <v>962</v>
      </c>
      <c r="E112" s="68" t="s">
        <v>963</v>
      </c>
      <c r="F112" s="69" t="s">
        <v>12</v>
      </c>
      <c r="G112" s="69">
        <v>2</v>
      </c>
    </row>
    <row r="113" s="21" customFormat="1" customHeight="1" spans="1:7">
      <c r="A113" s="61"/>
      <c r="B113" s="61">
        <v>2150</v>
      </c>
      <c r="C113" s="15"/>
      <c r="D113" s="70" t="s">
        <v>964</v>
      </c>
      <c r="E113" s="68" t="s">
        <v>965</v>
      </c>
      <c r="F113" s="69" t="s">
        <v>12</v>
      </c>
      <c r="G113" s="69">
        <v>2</v>
      </c>
    </row>
    <row r="114" s="21" customFormat="1" customHeight="1" spans="1:7">
      <c r="A114" s="61"/>
      <c r="B114" s="61">
        <v>2150</v>
      </c>
      <c r="C114" s="15"/>
      <c r="D114" s="70" t="s">
        <v>966</v>
      </c>
      <c r="E114" s="68" t="s">
        <v>967</v>
      </c>
      <c r="F114" s="69" t="s">
        <v>12</v>
      </c>
      <c r="G114" s="69">
        <v>2</v>
      </c>
    </row>
    <row r="115" s="21" customFormat="1" customHeight="1" spans="1:7">
      <c r="A115" s="61"/>
      <c r="B115" s="61">
        <v>2150</v>
      </c>
      <c r="C115" s="15"/>
      <c r="D115" s="68" t="s">
        <v>968</v>
      </c>
      <c r="E115" s="68" t="s">
        <v>955</v>
      </c>
      <c r="F115" s="69" t="s">
        <v>12</v>
      </c>
      <c r="G115" s="69">
        <v>2</v>
      </c>
    </row>
    <row r="116" s="21" customFormat="1" customHeight="1" spans="1:7">
      <c r="A116" s="61"/>
      <c r="B116" s="61">
        <v>2150</v>
      </c>
      <c r="C116" s="15"/>
      <c r="D116" s="67" t="s">
        <v>969</v>
      </c>
      <c r="E116" s="68" t="s">
        <v>970</v>
      </c>
      <c r="F116" s="69" t="s">
        <v>12</v>
      </c>
      <c r="G116" s="69">
        <v>1</v>
      </c>
    </row>
    <row r="117" s="21" customFormat="1" customHeight="1" spans="1:7">
      <c r="A117" s="61"/>
      <c r="B117" s="61">
        <v>2150</v>
      </c>
      <c r="C117" s="15"/>
      <c r="D117" s="68" t="s">
        <v>971</v>
      </c>
      <c r="E117" s="68" t="s">
        <v>972</v>
      </c>
      <c r="F117" s="69" t="s">
        <v>12</v>
      </c>
      <c r="G117" s="69">
        <v>3</v>
      </c>
    </row>
    <row r="118" s="21" customFormat="1" customHeight="1" spans="1:7">
      <c r="A118" s="61"/>
      <c r="B118" s="61">
        <v>2150</v>
      </c>
      <c r="C118" s="15"/>
      <c r="D118" s="67" t="s">
        <v>973</v>
      </c>
      <c r="E118" s="68" t="s">
        <v>974</v>
      </c>
      <c r="F118" s="69" t="s">
        <v>12</v>
      </c>
      <c r="G118" s="69">
        <v>2</v>
      </c>
    </row>
    <row r="119" s="21" customFormat="1" customHeight="1" spans="1:7">
      <c r="A119" s="61"/>
      <c r="B119" s="61">
        <v>2150</v>
      </c>
      <c r="C119" s="15"/>
      <c r="D119" s="70" t="s">
        <v>975</v>
      </c>
      <c r="E119" s="68" t="s">
        <v>976</v>
      </c>
      <c r="F119" s="69" t="s">
        <v>12</v>
      </c>
      <c r="G119" s="69">
        <v>2</v>
      </c>
    </row>
    <row r="120" s="21" customFormat="1" customHeight="1" spans="1:7">
      <c r="A120" s="61"/>
      <c r="B120" s="61">
        <v>2150</v>
      </c>
      <c r="C120" s="15"/>
      <c r="D120" s="70" t="s">
        <v>977</v>
      </c>
      <c r="E120" s="68" t="s">
        <v>978</v>
      </c>
      <c r="F120" s="69" t="s">
        <v>12</v>
      </c>
      <c r="G120" s="69">
        <v>2</v>
      </c>
    </row>
    <row r="121" s="21" customFormat="1" customHeight="1" spans="1:7">
      <c r="A121" s="61"/>
      <c r="B121" s="61">
        <v>2150</v>
      </c>
      <c r="C121" s="15"/>
      <c r="D121" s="70" t="s">
        <v>979</v>
      </c>
      <c r="E121" s="68" t="s">
        <v>980</v>
      </c>
      <c r="F121" s="69" t="s">
        <v>12</v>
      </c>
      <c r="G121" s="69">
        <v>2</v>
      </c>
    </row>
    <row r="122" s="21" customFormat="1" customHeight="1" spans="1:7">
      <c r="A122" s="61"/>
      <c r="B122" s="61">
        <v>2150</v>
      </c>
      <c r="C122" s="15"/>
      <c r="D122" s="70" t="s">
        <v>981</v>
      </c>
      <c r="E122" s="68" t="s">
        <v>982</v>
      </c>
      <c r="F122" s="69" t="s">
        <v>12</v>
      </c>
      <c r="G122" s="69">
        <v>2</v>
      </c>
    </row>
    <row r="123" s="21" customFormat="1" customHeight="1" spans="1:7">
      <c r="A123" s="61"/>
      <c r="B123" s="61">
        <v>2150</v>
      </c>
      <c r="C123" s="15"/>
      <c r="D123" s="70" t="s">
        <v>983</v>
      </c>
      <c r="E123" s="68" t="s">
        <v>984</v>
      </c>
      <c r="F123" s="69" t="s">
        <v>12</v>
      </c>
      <c r="G123" s="69">
        <v>2</v>
      </c>
    </row>
    <row r="124" s="21" customFormat="1" customHeight="1" spans="1:7">
      <c r="A124" s="61"/>
      <c r="B124" s="61">
        <v>2150</v>
      </c>
      <c r="C124" s="15"/>
      <c r="D124" s="68" t="s">
        <v>985</v>
      </c>
      <c r="E124" s="68" t="s">
        <v>986</v>
      </c>
      <c r="F124" s="69" t="s">
        <v>12</v>
      </c>
      <c r="G124" s="69">
        <v>2</v>
      </c>
    </row>
    <row r="125" s="21" customFormat="1" customHeight="1" spans="1:7">
      <c r="A125" s="61"/>
      <c r="B125" s="61">
        <v>2150</v>
      </c>
      <c r="C125" s="15"/>
      <c r="D125" s="67" t="s">
        <v>987</v>
      </c>
      <c r="E125" s="68" t="s">
        <v>988</v>
      </c>
      <c r="F125" s="69" t="s">
        <v>12</v>
      </c>
      <c r="G125" s="69">
        <v>1</v>
      </c>
    </row>
    <row r="126" s="21" customFormat="1" customHeight="1" spans="1:7">
      <c r="A126" s="61"/>
      <c r="B126" s="61">
        <v>2150</v>
      </c>
      <c r="C126" s="15"/>
      <c r="D126" s="68" t="s">
        <v>989</v>
      </c>
      <c r="E126" s="68" t="s">
        <v>986</v>
      </c>
      <c r="F126" s="69" t="s">
        <v>12</v>
      </c>
      <c r="G126" s="69">
        <v>3</v>
      </c>
    </row>
    <row r="127" s="21" customFormat="1" customHeight="1" spans="1:7">
      <c r="A127" s="61"/>
      <c r="B127" s="61">
        <v>2150</v>
      </c>
      <c r="C127" s="15"/>
      <c r="D127" s="67" t="s">
        <v>990</v>
      </c>
      <c r="E127" s="68" t="s">
        <v>991</v>
      </c>
      <c r="F127" s="69" t="s">
        <v>12</v>
      </c>
      <c r="G127" s="69">
        <v>1</v>
      </c>
    </row>
    <row r="128" s="21" customFormat="1" customHeight="1" spans="1:7">
      <c r="A128" s="61"/>
      <c r="B128" s="61">
        <v>2150</v>
      </c>
      <c r="C128" s="15"/>
      <c r="D128" s="70" t="s">
        <v>992</v>
      </c>
      <c r="E128" s="68" t="s">
        <v>993</v>
      </c>
      <c r="F128" s="69" t="s">
        <v>12</v>
      </c>
      <c r="G128" s="69">
        <v>1</v>
      </c>
    </row>
    <row r="129" s="21" customFormat="1" customHeight="1" spans="1:7">
      <c r="A129" s="61"/>
      <c r="B129" s="61">
        <v>2150</v>
      </c>
      <c r="C129" s="15"/>
      <c r="D129" s="70" t="s">
        <v>994</v>
      </c>
      <c r="E129" s="68" t="s">
        <v>995</v>
      </c>
      <c r="F129" s="69" t="s">
        <v>12</v>
      </c>
      <c r="G129" s="69">
        <v>1</v>
      </c>
    </row>
    <row r="130" s="21" customFormat="1" customHeight="1" spans="1:7">
      <c r="A130" s="61"/>
      <c r="B130" s="61">
        <v>2150</v>
      </c>
      <c r="C130" s="15"/>
      <c r="D130" s="70" t="s">
        <v>996</v>
      </c>
      <c r="E130" s="68" t="s">
        <v>997</v>
      </c>
      <c r="F130" s="69" t="s">
        <v>12</v>
      </c>
      <c r="G130" s="69">
        <v>1</v>
      </c>
    </row>
    <row r="131" s="21" customFormat="1" customHeight="1" spans="1:7">
      <c r="A131" s="61"/>
      <c r="B131" s="61">
        <v>2150</v>
      </c>
      <c r="C131" s="15"/>
      <c r="D131" s="70" t="s">
        <v>998</v>
      </c>
      <c r="E131" s="68" t="s">
        <v>999</v>
      </c>
      <c r="F131" s="69" t="s">
        <v>12</v>
      </c>
      <c r="G131" s="69">
        <v>1</v>
      </c>
    </row>
    <row r="132" s="21" customFormat="1" customHeight="1" spans="1:7">
      <c r="A132" s="61"/>
      <c r="B132" s="61">
        <v>2150</v>
      </c>
      <c r="C132" s="15"/>
      <c r="D132" s="70" t="s">
        <v>1000</v>
      </c>
      <c r="E132" s="68" t="s">
        <v>1001</v>
      </c>
      <c r="F132" s="69" t="s">
        <v>12</v>
      </c>
      <c r="G132" s="69">
        <v>1</v>
      </c>
    </row>
    <row r="133" s="21" customFormat="1" customHeight="1" spans="1:7">
      <c r="A133" s="61"/>
      <c r="B133" s="61">
        <v>2150</v>
      </c>
      <c r="C133" s="15"/>
      <c r="D133" s="68" t="s">
        <v>1002</v>
      </c>
      <c r="E133" s="68" t="s">
        <v>1003</v>
      </c>
      <c r="F133" s="69" t="s">
        <v>12</v>
      </c>
      <c r="G133" s="69">
        <v>1</v>
      </c>
    </row>
    <row r="134" s="21" customFormat="1" customHeight="1" spans="1:7">
      <c r="A134" s="61"/>
      <c r="B134" s="61">
        <v>2150</v>
      </c>
      <c r="C134" s="15"/>
      <c r="D134" s="71" t="s">
        <v>1004</v>
      </c>
      <c r="E134" s="72" t="s">
        <v>1005</v>
      </c>
      <c r="F134" s="69" t="s">
        <v>23</v>
      </c>
      <c r="G134" s="69">
        <v>1</v>
      </c>
    </row>
    <row r="135" s="21" customFormat="1" customHeight="1" spans="1:7">
      <c r="A135" s="61"/>
      <c r="B135" s="61">
        <v>2150</v>
      </c>
      <c r="C135" s="15"/>
      <c r="D135" s="67" t="s">
        <v>1006</v>
      </c>
      <c r="E135" s="68" t="s">
        <v>1007</v>
      </c>
      <c r="F135" s="69" t="s">
        <v>12</v>
      </c>
      <c r="G135" s="69"/>
    </row>
    <row r="136" s="21" customFormat="1" customHeight="1" spans="1:7">
      <c r="A136" s="61"/>
      <c r="B136" s="61">
        <v>2150</v>
      </c>
      <c r="C136" s="15"/>
      <c r="D136" s="70" t="s">
        <v>1008</v>
      </c>
      <c r="E136" s="68" t="s">
        <v>959</v>
      </c>
      <c r="F136" s="69" t="s">
        <v>12</v>
      </c>
      <c r="G136" s="69"/>
    </row>
    <row r="137" s="21" customFormat="1" customHeight="1" spans="1:7">
      <c r="A137" s="61"/>
      <c r="B137" s="61">
        <v>2150</v>
      </c>
      <c r="C137" s="15"/>
      <c r="D137" s="70" t="s">
        <v>1009</v>
      </c>
      <c r="E137" s="68" t="s">
        <v>961</v>
      </c>
      <c r="F137" s="69" t="s">
        <v>12</v>
      </c>
      <c r="G137" s="69"/>
    </row>
    <row r="138" s="21" customFormat="1" customHeight="1" spans="1:7">
      <c r="A138" s="61"/>
      <c r="B138" s="61">
        <v>2150</v>
      </c>
      <c r="C138" s="15"/>
      <c r="D138" s="70" t="s">
        <v>1010</v>
      </c>
      <c r="E138" s="68" t="s">
        <v>1011</v>
      </c>
      <c r="F138" s="69" t="s">
        <v>12</v>
      </c>
      <c r="G138" s="69"/>
    </row>
    <row r="139" s="21" customFormat="1" customHeight="1" spans="1:7">
      <c r="A139" s="61"/>
      <c r="B139" s="61">
        <v>2150</v>
      </c>
      <c r="C139" s="15"/>
      <c r="D139" s="70" t="s">
        <v>1012</v>
      </c>
      <c r="E139" s="68" t="s">
        <v>1013</v>
      </c>
      <c r="F139" s="69" t="s">
        <v>12</v>
      </c>
      <c r="G139" s="69"/>
    </row>
    <row r="140" s="21" customFormat="1" customHeight="1" spans="1:7">
      <c r="A140" s="61"/>
      <c r="B140" s="61">
        <v>2150</v>
      </c>
      <c r="C140" s="15"/>
      <c r="D140" s="70" t="s">
        <v>1014</v>
      </c>
      <c r="E140" s="68" t="s">
        <v>1015</v>
      </c>
      <c r="F140" s="69" t="s">
        <v>12</v>
      </c>
      <c r="G140" s="69"/>
    </row>
    <row r="141" s="21" customFormat="1" customHeight="1" spans="1:7">
      <c r="A141" s="61"/>
      <c r="B141" s="61">
        <v>2150</v>
      </c>
      <c r="C141" s="15"/>
      <c r="D141" s="68" t="s">
        <v>1016</v>
      </c>
      <c r="E141" s="68" t="s">
        <v>972</v>
      </c>
      <c r="F141" s="69" t="s">
        <v>12</v>
      </c>
      <c r="G141" s="69"/>
    </row>
    <row r="142" s="21" customFormat="1" customHeight="1" spans="1:7">
      <c r="A142" s="61"/>
      <c r="B142" s="61">
        <v>2150</v>
      </c>
      <c r="C142" s="15"/>
      <c r="D142" s="67" t="s">
        <v>1017</v>
      </c>
      <c r="E142" s="68" t="s">
        <v>1018</v>
      </c>
      <c r="F142" s="69" t="s">
        <v>12</v>
      </c>
      <c r="G142" s="69"/>
    </row>
    <row r="143" s="21" customFormat="1" customHeight="1" spans="1:7">
      <c r="A143" s="61"/>
      <c r="B143" s="61">
        <v>2150</v>
      </c>
      <c r="C143" s="15"/>
      <c r="D143" s="68" t="s">
        <v>1019</v>
      </c>
      <c r="E143" s="68" t="s">
        <v>906</v>
      </c>
      <c r="F143" s="69" t="s">
        <v>12</v>
      </c>
      <c r="G143" s="69"/>
    </row>
    <row r="144" s="21" customFormat="1" customHeight="1" spans="1:7">
      <c r="A144" s="61"/>
      <c r="B144" s="61">
        <v>2150</v>
      </c>
      <c r="C144" s="15"/>
      <c r="D144" s="67" t="s">
        <v>1020</v>
      </c>
      <c r="E144" s="68" t="s">
        <v>1021</v>
      </c>
      <c r="F144" s="69" t="s">
        <v>12</v>
      </c>
      <c r="G144" s="69">
        <v>2</v>
      </c>
    </row>
    <row r="145" s="21" customFormat="1" customHeight="1" spans="1:7">
      <c r="A145" s="61"/>
      <c r="B145" s="61">
        <v>2150</v>
      </c>
      <c r="C145" s="15"/>
      <c r="D145" s="68" t="s">
        <v>915</v>
      </c>
      <c r="E145" s="68" t="s">
        <v>1022</v>
      </c>
      <c r="F145" s="69" t="s">
        <v>12</v>
      </c>
      <c r="G145" s="69">
        <v>2</v>
      </c>
    </row>
    <row r="146" s="21" customFormat="1" customHeight="1" spans="1:7">
      <c r="A146" s="61"/>
      <c r="B146" s="61">
        <v>2150</v>
      </c>
      <c r="C146" s="15"/>
      <c r="D146" s="68" t="s">
        <v>917</v>
      </c>
      <c r="E146" s="68" t="s">
        <v>1023</v>
      </c>
      <c r="F146" s="69" t="s">
        <v>12</v>
      </c>
      <c r="G146" s="69">
        <v>1</v>
      </c>
    </row>
    <row r="147" s="21" customFormat="1" customHeight="1" spans="1:7">
      <c r="A147" s="61"/>
      <c r="B147" s="61">
        <v>2150</v>
      </c>
      <c r="C147" s="15"/>
      <c r="D147" s="68" t="s">
        <v>1024</v>
      </c>
      <c r="E147" s="68" t="s">
        <v>1025</v>
      </c>
      <c r="F147" s="69" t="s">
        <v>12</v>
      </c>
      <c r="G147" s="69">
        <v>1</v>
      </c>
    </row>
    <row r="148" s="21" customFormat="1" customHeight="1" spans="1:7">
      <c r="A148" s="61"/>
      <c r="B148" s="61">
        <v>2150</v>
      </c>
      <c r="C148" s="15"/>
      <c r="D148" s="68" t="s">
        <v>1026</v>
      </c>
      <c r="E148" s="68" t="s">
        <v>1027</v>
      </c>
      <c r="F148" s="69" t="s">
        <v>12</v>
      </c>
      <c r="G148" s="69">
        <v>1</v>
      </c>
    </row>
    <row r="149" s="21" customFormat="1" customHeight="1" spans="1:7">
      <c r="A149" s="61"/>
      <c r="B149" s="61">
        <v>2150</v>
      </c>
      <c r="C149" s="15"/>
      <c r="D149" s="68" t="s">
        <v>1026</v>
      </c>
      <c r="E149" s="68" t="s">
        <v>1028</v>
      </c>
      <c r="F149" s="69" t="s">
        <v>12</v>
      </c>
      <c r="G149" s="69">
        <v>1</v>
      </c>
    </row>
    <row r="150" s="21" customFormat="1" customHeight="1" spans="1:7">
      <c r="A150" s="61"/>
      <c r="B150" s="61">
        <v>2150</v>
      </c>
      <c r="C150" s="15"/>
      <c r="D150" s="68" t="s">
        <v>1029</v>
      </c>
      <c r="E150" s="68" t="s">
        <v>1030</v>
      </c>
      <c r="F150" s="69" t="s">
        <v>12</v>
      </c>
      <c r="G150" s="69">
        <v>1</v>
      </c>
    </row>
    <row r="151" s="21" customFormat="1" customHeight="1" spans="1:7">
      <c r="A151" s="61"/>
      <c r="B151" s="61">
        <v>2150</v>
      </c>
      <c r="C151" s="15"/>
      <c r="D151" s="68" t="s">
        <v>1031</v>
      </c>
      <c r="E151" s="68" t="s">
        <v>1032</v>
      </c>
      <c r="F151" s="69" t="s">
        <v>12</v>
      </c>
      <c r="G151" s="69">
        <v>1</v>
      </c>
    </row>
    <row r="152" s="21" customFormat="1" customHeight="1" spans="1:7">
      <c r="A152" s="61"/>
      <c r="B152" s="61">
        <v>2150</v>
      </c>
      <c r="C152" s="15"/>
      <c r="D152" s="68" t="s">
        <v>1033</v>
      </c>
      <c r="E152" s="68" t="s">
        <v>1034</v>
      </c>
      <c r="F152" s="69" t="s">
        <v>12</v>
      </c>
      <c r="G152" s="69">
        <v>1</v>
      </c>
    </row>
    <row r="153" s="21" customFormat="1" customHeight="1" spans="1:7">
      <c r="A153" s="61"/>
      <c r="B153" s="61">
        <v>2150</v>
      </c>
      <c r="C153" s="15"/>
      <c r="D153" s="68" t="s">
        <v>930</v>
      </c>
      <c r="E153" s="68" t="s">
        <v>931</v>
      </c>
      <c r="F153" s="69" t="s">
        <v>23</v>
      </c>
      <c r="G153" s="69">
        <v>2</v>
      </c>
    </row>
    <row r="154" s="21" customFormat="1" customHeight="1" spans="1:7">
      <c r="A154" s="61"/>
      <c r="B154" s="61">
        <v>2150</v>
      </c>
      <c r="C154" s="15"/>
      <c r="D154" s="67" t="s">
        <v>1035</v>
      </c>
      <c r="E154" s="68" t="s">
        <v>1036</v>
      </c>
      <c r="F154" s="69" t="s">
        <v>12</v>
      </c>
      <c r="G154" s="69">
        <v>2</v>
      </c>
    </row>
    <row r="155" s="21" customFormat="1" customHeight="1" spans="1:7">
      <c r="A155" s="61"/>
      <c r="B155" s="61">
        <v>2150</v>
      </c>
      <c r="C155" s="15"/>
      <c r="D155" s="70" t="s">
        <v>1008</v>
      </c>
      <c r="E155" s="68" t="s">
        <v>1037</v>
      </c>
      <c r="F155" s="69" t="s">
        <v>12</v>
      </c>
      <c r="G155" s="69">
        <v>2</v>
      </c>
    </row>
    <row r="156" s="21" customFormat="1" customHeight="1" spans="1:7">
      <c r="A156" s="61"/>
      <c r="B156" s="61">
        <v>2150</v>
      </c>
      <c r="C156" s="15"/>
      <c r="D156" s="70" t="s">
        <v>1009</v>
      </c>
      <c r="E156" s="68" t="s">
        <v>1038</v>
      </c>
      <c r="F156" s="69" t="s">
        <v>12</v>
      </c>
      <c r="G156" s="69">
        <v>2</v>
      </c>
    </row>
    <row r="157" s="21" customFormat="1" customHeight="1" spans="1:7">
      <c r="A157" s="61"/>
      <c r="B157" s="61">
        <v>2150</v>
      </c>
      <c r="C157" s="15"/>
      <c r="D157" s="70" t="s">
        <v>1010</v>
      </c>
      <c r="E157" s="68" t="s">
        <v>1039</v>
      </c>
      <c r="F157" s="69" t="s">
        <v>12</v>
      </c>
      <c r="G157" s="69">
        <v>2</v>
      </c>
    </row>
    <row r="158" s="21" customFormat="1" customHeight="1" spans="1:7">
      <c r="A158" s="61"/>
      <c r="B158" s="61">
        <v>2150</v>
      </c>
      <c r="C158" s="15"/>
      <c r="D158" s="70" t="s">
        <v>1012</v>
      </c>
      <c r="E158" s="68" t="s">
        <v>1040</v>
      </c>
      <c r="F158" s="69" t="s">
        <v>12</v>
      </c>
      <c r="G158" s="69">
        <v>2</v>
      </c>
    </row>
    <row r="159" s="21" customFormat="1" customHeight="1" spans="1:7">
      <c r="A159" s="61"/>
      <c r="B159" s="61">
        <v>2150</v>
      </c>
      <c r="C159" s="15"/>
      <c r="D159" s="70" t="s">
        <v>1014</v>
      </c>
      <c r="E159" s="68" t="s">
        <v>1041</v>
      </c>
      <c r="F159" s="69" t="s">
        <v>12</v>
      </c>
      <c r="G159" s="69">
        <v>2</v>
      </c>
    </row>
    <row r="160" s="21" customFormat="1" customHeight="1" spans="1:7">
      <c r="A160" s="61"/>
      <c r="B160" s="61">
        <v>2150</v>
      </c>
      <c r="C160" s="15"/>
      <c r="D160" s="68" t="s">
        <v>1016</v>
      </c>
      <c r="E160" s="68" t="s">
        <v>1042</v>
      </c>
      <c r="F160" s="69" t="s">
        <v>12</v>
      </c>
      <c r="G160" s="69">
        <v>2</v>
      </c>
    </row>
    <row r="161" s="21" customFormat="1" customHeight="1" spans="1:7">
      <c r="A161" s="61"/>
      <c r="B161" s="61">
        <v>2150</v>
      </c>
      <c r="C161" s="15"/>
      <c r="D161" s="34" t="s">
        <v>1043</v>
      </c>
      <c r="E161" s="3"/>
      <c r="F161" s="3"/>
      <c r="G161" s="3"/>
    </row>
    <row r="162" s="21" customFormat="1" customHeight="1" spans="1:7">
      <c r="A162" s="61"/>
      <c r="B162" s="61">
        <v>2150</v>
      </c>
      <c r="C162" s="15"/>
      <c r="D162" s="67" t="s">
        <v>1044</v>
      </c>
      <c r="E162" s="68" t="s">
        <v>1045</v>
      </c>
      <c r="F162" s="69" t="s">
        <v>12</v>
      </c>
      <c r="G162" s="69">
        <v>0</v>
      </c>
    </row>
    <row r="163" s="21" customFormat="1" customHeight="1" spans="1:7">
      <c r="A163" s="61"/>
      <c r="B163" s="61">
        <v>2150</v>
      </c>
      <c r="C163" s="15"/>
      <c r="D163" s="70" t="s">
        <v>1008</v>
      </c>
      <c r="E163" s="68" t="s">
        <v>1046</v>
      </c>
      <c r="F163" s="69" t="s">
        <v>12</v>
      </c>
      <c r="G163" s="69">
        <v>0</v>
      </c>
    </row>
    <row r="164" s="21" customFormat="1" customHeight="1" spans="1:7">
      <c r="A164" s="61"/>
      <c r="B164" s="61">
        <v>2150</v>
      </c>
      <c r="C164" s="15"/>
      <c r="D164" s="70" t="s">
        <v>1009</v>
      </c>
      <c r="E164" s="68" t="s">
        <v>1047</v>
      </c>
      <c r="F164" s="69" t="s">
        <v>12</v>
      </c>
      <c r="G164" s="69">
        <v>0</v>
      </c>
    </row>
    <row r="165" s="21" customFormat="1" customHeight="1" spans="1:7">
      <c r="A165" s="61"/>
      <c r="B165" s="61">
        <v>2150</v>
      </c>
      <c r="C165" s="15"/>
      <c r="D165" s="70" t="s">
        <v>1010</v>
      </c>
      <c r="E165" s="68" t="s">
        <v>1048</v>
      </c>
      <c r="F165" s="69" t="s">
        <v>12</v>
      </c>
      <c r="G165" s="69">
        <v>0</v>
      </c>
    </row>
    <row r="166" s="21" customFormat="1" customHeight="1" spans="1:7">
      <c r="A166" s="61"/>
      <c r="B166" s="61">
        <v>2150</v>
      </c>
      <c r="C166" s="15"/>
      <c r="D166" s="70" t="s">
        <v>1012</v>
      </c>
      <c r="E166" s="68" t="s">
        <v>1049</v>
      </c>
      <c r="F166" s="69" t="s">
        <v>12</v>
      </c>
      <c r="G166" s="69">
        <v>0</v>
      </c>
    </row>
    <row r="167" s="21" customFormat="1" customHeight="1" spans="1:7">
      <c r="A167" s="61"/>
      <c r="B167" s="61"/>
      <c r="C167" s="15"/>
      <c r="D167" s="70" t="s">
        <v>1014</v>
      </c>
      <c r="E167" s="68" t="s">
        <v>1050</v>
      </c>
      <c r="F167" s="69" t="s">
        <v>12</v>
      </c>
      <c r="G167" s="69">
        <v>0</v>
      </c>
    </row>
    <row r="168" s="21" customFormat="1" customHeight="1" spans="1:7">
      <c r="A168" s="61"/>
      <c r="B168" s="61">
        <v>2150</v>
      </c>
      <c r="C168" s="15"/>
      <c r="D168" s="68" t="s">
        <v>1016</v>
      </c>
      <c r="E168" s="68" t="s">
        <v>1051</v>
      </c>
      <c r="F168" s="69" t="s">
        <v>12</v>
      </c>
      <c r="G168" s="69">
        <v>0</v>
      </c>
    </row>
    <row r="169" s="21" customFormat="1" customHeight="1" spans="1:7">
      <c r="A169" s="61"/>
      <c r="B169" s="61">
        <v>2150</v>
      </c>
      <c r="C169" s="15"/>
      <c r="D169" s="67" t="s">
        <v>1052</v>
      </c>
      <c r="E169" s="68" t="s">
        <v>1053</v>
      </c>
      <c r="F169" s="69" t="s">
        <v>12</v>
      </c>
      <c r="G169" s="69">
        <v>0</v>
      </c>
    </row>
    <row r="170" s="21" customFormat="1" customHeight="1" spans="1:7">
      <c r="A170" s="61"/>
      <c r="B170" s="61">
        <v>2150</v>
      </c>
      <c r="C170" s="15"/>
      <c r="D170" s="68" t="s">
        <v>1019</v>
      </c>
      <c r="E170" s="68" t="s">
        <v>1054</v>
      </c>
      <c r="F170" s="69" t="s">
        <v>12</v>
      </c>
      <c r="G170" s="69">
        <v>0</v>
      </c>
    </row>
    <row r="171" s="21" customFormat="1" customHeight="1" spans="1:7">
      <c r="A171" s="61"/>
      <c r="B171" s="61">
        <v>2150</v>
      </c>
      <c r="C171" s="15"/>
      <c r="D171" s="71" t="s">
        <v>1055</v>
      </c>
      <c r="E171" s="72" t="s">
        <v>1056</v>
      </c>
      <c r="F171" s="69" t="s">
        <v>23</v>
      </c>
      <c r="G171" s="69">
        <v>0</v>
      </c>
    </row>
    <row r="172" s="21" customFormat="1" customHeight="1" spans="1:7">
      <c r="A172" s="61"/>
      <c r="B172" s="61">
        <v>2150</v>
      </c>
      <c r="C172" s="15"/>
      <c r="D172" s="67" t="s">
        <v>1057</v>
      </c>
      <c r="E172" s="68" t="s">
        <v>1058</v>
      </c>
      <c r="F172" s="69" t="s">
        <v>12</v>
      </c>
      <c r="G172" s="69">
        <v>0</v>
      </c>
    </row>
    <row r="173" s="21" customFormat="1" customHeight="1" spans="1:7">
      <c r="A173" s="61"/>
      <c r="B173" s="61">
        <v>2150</v>
      </c>
      <c r="C173" s="15"/>
      <c r="D173" s="68" t="s">
        <v>1059</v>
      </c>
      <c r="E173" s="68" t="s">
        <v>1060</v>
      </c>
      <c r="F173" s="69" t="s">
        <v>12</v>
      </c>
      <c r="G173" s="69">
        <v>0</v>
      </c>
    </row>
    <row r="174" s="21" customFormat="1" customHeight="1" spans="1:7">
      <c r="A174" s="61"/>
      <c r="B174" s="61">
        <v>2150</v>
      </c>
      <c r="C174" s="15"/>
      <c r="D174" s="68" t="s">
        <v>1061</v>
      </c>
      <c r="E174" s="68" t="s">
        <v>1062</v>
      </c>
      <c r="F174" s="69" t="s">
        <v>12</v>
      </c>
      <c r="G174" s="69">
        <v>0</v>
      </c>
    </row>
    <row r="175" s="21" customFormat="1" customHeight="1" spans="1:7">
      <c r="A175" s="61"/>
      <c r="B175" s="61">
        <v>2150</v>
      </c>
      <c r="C175" s="15"/>
      <c r="D175" s="68" t="s">
        <v>1063</v>
      </c>
      <c r="E175" s="68" t="s">
        <v>1064</v>
      </c>
      <c r="F175" s="69" t="s">
        <v>12</v>
      </c>
      <c r="G175" s="69">
        <v>0</v>
      </c>
    </row>
    <row r="176" s="21" customFormat="1" customHeight="1" spans="1:7">
      <c r="A176" s="61"/>
      <c r="B176" s="61">
        <v>2150</v>
      </c>
      <c r="C176" s="15"/>
      <c r="D176" s="68" t="s">
        <v>1065</v>
      </c>
      <c r="E176" s="68" t="s">
        <v>1066</v>
      </c>
      <c r="F176" s="69" t="s">
        <v>12</v>
      </c>
      <c r="G176" s="69">
        <v>0</v>
      </c>
    </row>
    <row r="177" s="21" customFormat="1" customHeight="1" spans="1:7">
      <c r="A177" s="61"/>
      <c r="B177" s="61">
        <v>2150</v>
      </c>
      <c r="C177" s="15"/>
      <c r="D177" s="68" t="s">
        <v>1065</v>
      </c>
      <c r="E177" s="68" t="s">
        <v>1027</v>
      </c>
      <c r="F177" s="69" t="s">
        <v>12</v>
      </c>
      <c r="G177" s="69">
        <v>0</v>
      </c>
    </row>
    <row r="178" s="21" customFormat="1" customHeight="1" spans="1:7">
      <c r="A178" s="61"/>
      <c r="B178" s="61">
        <v>2150</v>
      </c>
      <c r="C178" s="15"/>
      <c r="D178" s="68" t="s">
        <v>1067</v>
      </c>
      <c r="E178" s="68" t="s">
        <v>1068</v>
      </c>
      <c r="F178" s="69" t="s">
        <v>12</v>
      </c>
      <c r="G178" s="69">
        <v>0</v>
      </c>
    </row>
    <row r="179" s="21" customFormat="1" customHeight="1" spans="1:7">
      <c r="A179" s="61"/>
      <c r="B179" s="61">
        <v>2150</v>
      </c>
      <c r="C179" s="15"/>
      <c r="D179" s="68" t="s">
        <v>1069</v>
      </c>
      <c r="E179" s="68" t="s">
        <v>1070</v>
      </c>
      <c r="F179" s="69" t="s">
        <v>12</v>
      </c>
      <c r="G179" s="69">
        <v>0</v>
      </c>
    </row>
    <row r="180" s="21" customFormat="1" customHeight="1" spans="1:7">
      <c r="A180" s="61"/>
      <c r="B180" s="61">
        <v>2150</v>
      </c>
      <c r="C180" s="15"/>
      <c r="D180" s="68" t="s">
        <v>1071</v>
      </c>
      <c r="E180" s="68" t="s">
        <v>1034</v>
      </c>
      <c r="F180" s="69" t="s">
        <v>12</v>
      </c>
      <c r="G180" s="69">
        <v>0</v>
      </c>
    </row>
    <row r="181" s="21" customFormat="1" customHeight="1" spans="1:7">
      <c r="A181" s="61"/>
      <c r="B181" s="61">
        <v>2150</v>
      </c>
      <c r="C181" s="15"/>
      <c r="D181" s="71" t="s">
        <v>1055</v>
      </c>
      <c r="E181" s="72" t="s">
        <v>1056</v>
      </c>
      <c r="F181" s="69" t="s">
        <v>23</v>
      </c>
      <c r="G181" s="69">
        <v>0</v>
      </c>
    </row>
    <row r="182" s="21" customFormat="1" customHeight="1" spans="1:7">
      <c r="A182" s="61"/>
      <c r="B182" s="61"/>
      <c r="C182" s="15"/>
      <c r="D182" s="7" t="s">
        <v>1072</v>
      </c>
      <c r="E182" s="10"/>
      <c r="F182" s="11"/>
      <c r="G182" s="11"/>
    </row>
    <row r="183" s="21" customFormat="1" customHeight="1" spans="1:7">
      <c r="A183" s="61"/>
      <c r="B183" s="61">
        <v>2150</v>
      </c>
      <c r="C183" s="15"/>
      <c r="D183" s="10" t="s">
        <v>1073</v>
      </c>
      <c r="E183" s="10" t="s">
        <v>1074</v>
      </c>
      <c r="F183" s="11" t="s">
        <v>12</v>
      </c>
      <c r="G183" s="11">
        <v>1</v>
      </c>
    </row>
    <row r="184" s="21" customFormat="1" customHeight="1" spans="1:7">
      <c r="A184" s="61"/>
      <c r="B184" s="61">
        <v>2150</v>
      </c>
      <c r="C184" s="15"/>
      <c r="D184" s="10" t="s">
        <v>1075</v>
      </c>
      <c r="E184" s="10" t="s">
        <v>1076</v>
      </c>
      <c r="F184" s="11" t="s">
        <v>12</v>
      </c>
      <c r="G184" s="11">
        <v>1</v>
      </c>
    </row>
    <row r="185" s="21" customFormat="1" customHeight="1" spans="1:7">
      <c r="A185" s="61"/>
      <c r="B185" s="61">
        <v>2150</v>
      </c>
      <c r="C185" s="15"/>
      <c r="D185" s="10" t="s">
        <v>1077</v>
      </c>
      <c r="E185" s="10" t="s">
        <v>1078</v>
      </c>
      <c r="F185" s="11" t="s">
        <v>12</v>
      </c>
      <c r="G185" s="11">
        <v>1</v>
      </c>
    </row>
    <row r="186" s="21" customFormat="1" customHeight="1" spans="1:7">
      <c r="A186" s="61"/>
      <c r="B186" s="61">
        <v>2150</v>
      </c>
      <c r="C186" s="15"/>
      <c r="D186" s="10" t="s">
        <v>1079</v>
      </c>
      <c r="E186" s="10" t="s">
        <v>1080</v>
      </c>
      <c r="F186" s="11" t="s">
        <v>12</v>
      </c>
      <c r="G186" s="11">
        <v>1</v>
      </c>
    </row>
    <row r="187" s="21" customFormat="1" customHeight="1" spans="1:7">
      <c r="A187" s="61"/>
      <c r="B187" s="61">
        <v>2150</v>
      </c>
      <c r="C187" s="15"/>
      <c r="D187" s="10" t="s">
        <v>1081</v>
      </c>
      <c r="E187" s="10" t="s">
        <v>1082</v>
      </c>
      <c r="F187" s="11" t="s">
        <v>12</v>
      </c>
      <c r="G187" s="11">
        <v>1</v>
      </c>
    </row>
    <row r="188" s="21" customFormat="1" customHeight="1" spans="1:7">
      <c r="A188" s="61"/>
      <c r="B188" s="61">
        <v>2150</v>
      </c>
      <c r="C188" s="15"/>
      <c r="D188" s="10" t="s">
        <v>1083</v>
      </c>
      <c r="E188" s="10" t="s">
        <v>1084</v>
      </c>
      <c r="F188" s="11" t="s">
        <v>12</v>
      </c>
      <c r="G188" s="11">
        <v>1</v>
      </c>
    </row>
    <row r="189" s="21" customFormat="1" customHeight="1" spans="1:7">
      <c r="A189" s="61"/>
      <c r="B189" s="61">
        <v>2150</v>
      </c>
      <c r="C189" s="15"/>
      <c r="D189" s="10" t="s">
        <v>1085</v>
      </c>
      <c r="E189" s="10" t="s">
        <v>1080</v>
      </c>
      <c r="F189" s="11" t="s">
        <v>12</v>
      </c>
      <c r="G189" s="11">
        <v>1</v>
      </c>
    </row>
    <row r="190" s="21" customFormat="1" customHeight="1" spans="1:7">
      <c r="A190" s="61"/>
      <c r="B190" s="61">
        <v>2150</v>
      </c>
      <c r="C190" s="15"/>
      <c r="D190" s="10" t="s">
        <v>1086</v>
      </c>
      <c r="E190" s="10" t="s">
        <v>1082</v>
      </c>
      <c r="F190" s="11" t="s">
        <v>12</v>
      </c>
      <c r="G190" s="11">
        <v>1</v>
      </c>
    </row>
    <row r="191" s="21" customFormat="1" customHeight="1" spans="1:7">
      <c r="A191" s="61"/>
      <c r="B191" s="61">
        <v>2150</v>
      </c>
      <c r="C191" s="15"/>
      <c r="D191" s="10" t="s">
        <v>1087</v>
      </c>
      <c r="E191" s="10" t="s">
        <v>1084</v>
      </c>
      <c r="F191" s="11" t="s">
        <v>12</v>
      </c>
      <c r="G191" s="11">
        <v>1</v>
      </c>
    </row>
    <row r="192" s="21" customFormat="1" customHeight="1" spans="1:7">
      <c r="A192" s="61"/>
      <c r="B192" s="61"/>
      <c r="C192" s="15"/>
      <c r="D192" s="7" t="s">
        <v>823</v>
      </c>
      <c r="E192" s="10"/>
      <c r="F192" s="11"/>
      <c r="G192" s="11"/>
    </row>
    <row r="193" s="21" customFormat="1" customHeight="1" spans="1:7">
      <c r="A193" s="61"/>
      <c r="B193" s="61">
        <v>2150</v>
      </c>
      <c r="C193" s="87" t="s">
        <v>824</v>
      </c>
      <c r="D193" s="10" t="s">
        <v>824</v>
      </c>
      <c r="E193" s="10" t="s">
        <v>827</v>
      </c>
      <c r="F193" s="11" t="s">
        <v>826</v>
      </c>
      <c r="G193" s="11">
        <v>20</v>
      </c>
    </row>
    <row r="194" s="21" customFormat="1" customHeight="1" spans="1:7">
      <c r="A194" s="61"/>
      <c r="B194" s="61">
        <v>2150</v>
      </c>
      <c r="C194" s="87" t="s">
        <v>824</v>
      </c>
      <c r="D194" s="10" t="s">
        <v>824</v>
      </c>
      <c r="E194" s="10" t="s">
        <v>825</v>
      </c>
      <c r="F194" s="11" t="s">
        <v>826</v>
      </c>
      <c r="G194" s="11">
        <v>20</v>
      </c>
    </row>
    <row r="195" s="21" customFormat="1" customHeight="1" spans="1:7">
      <c r="A195" s="61"/>
      <c r="B195" s="61">
        <v>2150</v>
      </c>
      <c r="C195" s="87" t="s">
        <v>824</v>
      </c>
      <c r="D195" s="10" t="s">
        <v>824</v>
      </c>
      <c r="E195" s="10" t="s">
        <v>825</v>
      </c>
      <c r="F195" s="11" t="s">
        <v>826</v>
      </c>
      <c r="G195" s="11">
        <v>15</v>
      </c>
    </row>
    <row r="196" s="21" customFormat="1" customHeight="1" spans="1:7">
      <c r="A196" s="61"/>
      <c r="B196" s="61">
        <v>2150</v>
      </c>
      <c r="C196" s="87" t="s">
        <v>824</v>
      </c>
      <c r="D196" s="10" t="s">
        <v>824</v>
      </c>
      <c r="E196" s="10" t="s">
        <v>825</v>
      </c>
      <c r="F196" s="11" t="s">
        <v>826</v>
      </c>
      <c r="G196" s="11">
        <v>70</v>
      </c>
    </row>
    <row r="197" s="21" customFormat="1" customHeight="1" spans="1:7">
      <c r="A197" s="61"/>
      <c r="B197" s="61">
        <v>2150</v>
      </c>
      <c r="C197" s="87" t="s">
        <v>824</v>
      </c>
      <c r="D197" s="10" t="s">
        <v>824</v>
      </c>
      <c r="E197" s="10" t="s">
        <v>825</v>
      </c>
      <c r="F197" s="11" t="s">
        <v>826</v>
      </c>
      <c r="G197" s="11">
        <v>20</v>
      </c>
    </row>
    <row r="198" s="21" customFormat="1" customHeight="1" spans="1:7">
      <c r="A198" s="61"/>
      <c r="B198" s="61">
        <v>2150</v>
      </c>
      <c r="C198" s="87" t="s">
        <v>824</v>
      </c>
      <c r="D198" s="10" t="s">
        <v>824</v>
      </c>
      <c r="E198" s="10" t="s">
        <v>828</v>
      </c>
      <c r="F198" s="11" t="s">
        <v>826</v>
      </c>
      <c r="G198" s="11">
        <v>20</v>
      </c>
    </row>
    <row r="199" s="21" customFormat="1" customHeight="1" spans="1:7">
      <c r="A199" s="61"/>
      <c r="B199" s="61">
        <v>2150</v>
      </c>
      <c r="C199" s="87" t="s">
        <v>824</v>
      </c>
      <c r="D199" s="10" t="s">
        <v>824</v>
      </c>
      <c r="E199" s="10" t="s">
        <v>825</v>
      </c>
      <c r="F199" s="11" t="s">
        <v>826</v>
      </c>
      <c r="G199" s="11">
        <v>15</v>
      </c>
    </row>
    <row r="200" s="21" customFormat="1" customHeight="1" spans="1:7">
      <c r="A200" s="61"/>
      <c r="B200" s="61">
        <v>2150</v>
      </c>
      <c r="C200" s="87" t="s">
        <v>824</v>
      </c>
      <c r="D200" s="10" t="s">
        <v>824</v>
      </c>
      <c r="E200" s="10" t="s">
        <v>825</v>
      </c>
      <c r="F200" s="11" t="s">
        <v>826</v>
      </c>
      <c r="G200" s="11">
        <v>70</v>
      </c>
    </row>
    <row r="201" s="21" customFormat="1" customHeight="1" spans="1:7">
      <c r="A201" s="61"/>
      <c r="B201" s="61">
        <v>2150</v>
      </c>
      <c r="C201" s="87" t="s">
        <v>824</v>
      </c>
      <c r="D201" s="10" t="s">
        <v>824</v>
      </c>
      <c r="E201" s="10" t="s">
        <v>828</v>
      </c>
      <c r="F201" s="11" t="s">
        <v>826</v>
      </c>
      <c r="G201" s="11">
        <v>20</v>
      </c>
    </row>
    <row r="202" s="21" customFormat="1" customHeight="1" spans="1:7">
      <c r="A202" s="61"/>
      <c r="B202" s="61">
        <v>2150</v>
      </c>
      <c r="C202" s="87" t="s">
        <v>824</v>
      </c>
      <c r="D202" s="10" t="s">
        <v>824</v>
      </c>
      <c r="E202" s="10" t="s">
        <v>833</v>
      </c>
      <c r="F202" s="11" t="s">
        <v>826</v>
      </c>
      <c r="G202" s="11">
        <v>20</v>
      </c>
    </row>
    <row r="203" s="21" customFormat="1" customHeight="1" spans="1:7">
      <c r="A203" s="61"/>
      <c r="B203" s="61">
        <v>2150</v>
      </c>
      <c r="C203" s="87" t="s">
        <v>824</v>
      </c>
      <c r="D203" s="10" t="s">
        <v>824</v>
      </c>
      <c r="E203" s="10" t="s">
        <v>828</v>
      </c>
      <c r="F203" s="11" t="s">
        <v>826</v>
      </c>
      <c r="G203" s="11">
        <v>15</v>
      </c>
    </row>
    <row r="204" s="21" customFormat="1" customHeight="1" spans="1:7">
      <c r="A204" s="61"/>
      <c r="B204" s="61">
        <v>2150</v>
      </c>
      <c r="C204" s="87" t="s">
        <v>824</v>
      </c>
      <c r="D204" s="10" t="s">
        <v>824</v>
      </c>
      <c r="E204" s="10" t="s">
        <v>825</v>
      </c>
      <c r="F204" s="11" t="s">
        <v>826</v>
      </c>
      <c r="G204" s="11">
        <v>20</v>
      </c>
    </row>
    <row r="205" s="21" customFormat="1" customHeight="1" spans="1:7">
      <c r="A205" s="61"/>
      <c r="B205" s="61">
        <v>2150</v>
      </c>
      <c r="C205" s="87" t="s">
        <v>824</v>
      </c>
      <c r="D205" s="10" t="s">
        <v>824</v>
      </c>
      <c r="E205" s="10" t="s">
        <v>828</v>
      </c>
      <c r="F205" s="11" t="s">
        <v>826</v>
      </c>
      <c r="G205" s="11">
        <v>20</v>
      </c>
    </row>
    <row r="206" s="21" customFormat="1" customHeight="1" spans="1:7">
      <c r="A206" s="61"/>
      <c r="B206" s="61">
        <v>2150</v>
      </c>
      <c r="C206" s="87" t="s">
        <v>824</v>
      </c>
      <c r="D206" s="10" t="s">
        <v>824</v>
      </c>
      <c r="E206" s="10" t="s">
        <v>828</v>
      </c>
      <c r="F206" s="11" t="s">
        <v>826</v>
      </c>
      <c r="G206" s="11">
        <v>15</v>
      </c>
    </row>
    <row r="207" s="21" customFormat="1" customHeight="1" spans="1:7">
      <c r="A207" s="61"/>
      <c r="B207" s="61">
        <v>2150</v>
      </c>
      <c r="C207" s="87" t="s">
        <v>824</v>
      </c>
      <c r="D207" s="10" t="s">
        <v>824</v>
      </c>
      <c r="E207" s="10" t="s">
        <v>1088</v>
      </c>
      <c r="F207" s="11" t="s">
        <v>826</v>
      </c>
      <c r="G207" s="11">
        <v>20</v>
      </c>
    </row>
    <row r="208" s="21" customFormat="1" customHeight="1" spans="1:7">
      <c r="A208" s="61"/>
      <c r="B208" s="61">
        <v>2150</v>
      </c>
      <c r="C208" s="87" t="s">
        <v>824</v>
      </c>
      <c r="D208" s="10" t="s">
        <v>824</v>
      </c>
      <c r="E208" s="10" t="s">
        <v>829</v>
      </c>
      <c r="F208" s="11" t="s">
        <v>826</v>
      </c>
      <c r="G208" s="11">
        <v>20</v>
      </c>
    </row>
    <row r="209" s="21" customFormat="1" customHeight="1" spans="1:7">
      <c r="A209" s="61"/>
      <c r="B209" s="61">
        <v>2150</v>
      </c>
      <c r="C209" s="87" t="s">
        <v>824</v>
      </c>
      <c r="D209" s="10" t="s">
        <v>824</v>
      </c>
      <c r="E209" s="10" t="s">
        <v>829</v>
      </c>
      <c r="F209" s="11" t="s">
        <v>826</v>
      </c>
      <c r="G209" s="11">
        <v>15</v>
      </c>
    </row>
    <row r="210" s="21" customFormat="1" customHeight="1" spans="1:7">
      <c r="A210" s="61"/>
      <c r="B210" s="61">
        <v>2150</v>
      </c>
      <c r="C210" s="87" t="s">
        <v>824</v>
      </c>
      <c r="D210" s="10" t="s">
        <v>824</v>
      </c>
      <c r="E210" s="10" t="s">
        <v>825</v>
      </c>
      <c r="F210" s="11" t="s">
        <v>826</v>
      </c>
      <c r="G210" s="11">
        <v>20</v>
      </c>
    </row>
    <row r="211" s="21" customFormat="1" customHeight="1" spans="1:7">
      <c r="A211" s="61"/>
      <c r="B211" s="61">
        <v>2150</v>
      </c>
      <c r="C211" s="87" t="s">
        <v>824</v>
      </c>
      <c r="D211" s="10" t="s">
        <v>824</v>
      </c>
      <c r="E211" s="10" t="s">
        <v>828</v>
      </c>
      <c r="F211" s="11" t="s">
        <v>826</v>
      </c>
      <c r="G211" s="11">
        <v>20</v>
      </c>
    </row>
    <row r="212" s="21" customFormat="1" customHeight="1" spans="1:7">
      <c r="A212" s="61"/>
      <c r="B212" s="61">
        <v>2150</v>
      </c>
      <c r="C212" s="87" t="s">
        <v>824</v>
      </c>
      <c r="D212" s="10" t="s">
        <v>824</v>
      </c>
      <c r="E212" s="10" t="s">
        <v>825</v>
      </c>
      <c r="F212" s="11" t="s">
        <v>826</v>
      </c>
      <c r="G212" s="11">
        <v>15</v>
      </c>
    </row>
    <row r="213" s="21" customFormat="1" customHeight="1" spans="1:7">
      <c r="A213" s="61"/>
      <c r="B213" s="61">
        <v>2150</v>
      </c>
      <c r="C213" s="87" t="s">
        <v>824</v>
      </c>
      <c r="D213" s="10" t="s">
        <v>824</v>
      </c>
      <c r="E213" s="10" t="s">
        <v>1088</v>
      </c>
      <c r="F213" s="11" t="s">
        <v>826</v>
      </c>
      <c r="G213" s="11">
        <v>70</v>
      </c>
    </row>
    <row r="214" s="21" customFormat="1" customHeight="1" spans="1:7">
      <c r="A214" s="61"/>
      <c r="B214" s="61">
        <v>2150</v>
      </c>
      <c r="C214" s="87" t="s">
        <v>824</v>
      </c>
      <c r="D214" s="10" t="s">
        <v>824</v>
      </c>
      <c r="E214" s="10" t="s">
        <v>829</v>
      </c>
      <c r="F214" s="11" t="s">
        <v>826</v>
      </c>
      <c r="G214" s="11">
        <v>20</v>
      </c>
    </row>
    <row r="215" s="21" customFormat="1" customHeight="1" spans="1:7">
      <c r="A215" s="61"/>
      <c r="B215" s="61">
        <v>2150</v>
      </c>
      <c r="C215" s="87" t="s">
        <v>824</v>
      </c>
      <c r="D215" s="10" t="s">
        <v>824</v>
      </c>
      <c r="E215" s="10" t="s">
        <v>829</v>
      </c>
      <c r="F215" s="11" t="s">
        <v>826</v>
      </c>
      <c r="G215" s="11">
        <v>0</v>
      </c>
    </row>
    <row r="216" s="21" customFormat="1" customHeight="1" spans="1:7">
      <c r="A216" s="61"/>
      <c r="B216" s="61">
        <v>2150</v>
      </c>
      <c r="C216" s="87" t="s">
        <v>824</v>
      </c>
      <c r="D216" s="10" t="s">
        <v>824</v>
      </c>
      <c r="E216" s="10" t="s">
        <v>827</v>
      </c>
      <c r="F216" s="11" t="s">
        <v>826</v>
      </c>
      <c r="G216" s="11">
        <v>0</v>
      </c>
    </row>
    <row r="217" s="21" customFormat="1" customHeight="1" spans="1:7">
      <c r="A217" s="61"/>
      <c r="B217" s="61">
        <v>2150</v>
      </c>
      <c r="C217" s="87" t="s">
        <v>844</v>
      </c>
      <c r="D217" s="10" t="s">
        <v>844</v>
      </c>
      <c r="E217" s="10" t="s">
        <v>1089</v>
      </c>
      <c r="F217" s="11" t="s">
        <v>826</v>
      </c>
      <c r="G217" s="11">
        <v>0</v>
      </c>
    </row>
    <row r="218" s="21" customFormat="1" customHeight="1" spans="1:7">
      <c r="A218" s="61"/>
      <c r="B218" s="61">
        <v>2150</v>
      </c>
      <c r="C218" s="87" t="s">
        <v>824</v>
      </c>
      <c r="D218" s="10" t="s">
        <v>824</v>
      </c>
      <c r="E218" s="10" t="s">
        <v>833</v>
      </c>
      <c r="F218" s="11" t="s">
        <v>826</v>
      </c>
      <c r="G218" s="11">
        <v>40</v>
      </c>
    </row>
    <row r="219" s="21" customFormat="1" customHeight="1" spans="1:7">
      <c r="A219" s="61"/>
      <c r="B219" s="61">
        <v>2150</v>
      </c>
      <c r="C219" s="87" t="s">
        <v>824</v>
      </c>
      <c r="D219" s="10" t="s">
        <v>824</v>
      </c>
      <c r="E219" s="10" t="s">
        <v>830</v>
      </c>
      <c r="F219" s="11" t="s">
        <v>826</v>
      </c>
      <c r="G219" s="11">
        <v>40</v>
      </c>
    </row>
    <row r="220" s="21" customFormat="1" customHeight="1" spans="1:7">
      <c r="A220" s="61"/>
      <c r="B220" s="61">
        <v>2150</v>
      </c>
      <c r="C220" s="87" t="s">
        <v>831</v>
      </c>
      <c r="D220" s="10" t="s">
        <v>832</v>
      </c>
      <c r="E220" s="10" t="s">
        <v>828</v>
      </c>
      <c r="F220" s="11" t="s">
        <v>826</v>
      </c>
      <c r="G220" s="11">
        <v>100</v>
      </c>
    </row>
    <row r="221" s="21" customFormat="1" customHeight="1" spans="1:7">
      <c r="A221" s="61"/>
      <c r="B221" s="61">
        <v>2150</v>
      </c>
      <c r="C221" s="87" t="s">
        <v>831</v>
      </c>
      <c r="D221" s="10" t="s">
        <v>832</v>
      </c>
      <c r="E221" s="10" t="s">
        <v>833</v>
      </c>
      <c r="F221" s="11" t="s">
        <v>826</v>
      </c>
      <c r="G221" s="11">
        <v>80</v>
      </c>
    </row>
    <row r="222" s="21" customFormat="1" customHeight="1" spans="1:7">
      <c r="A222" s="61"/>
      <c r="B222" s="61">
        <v>2150</v>
      </c>
      <c r="C222" s="87" t="s">
        <v>824</v>
      </c>
      <c r="D222" s="10" t="s">
        <v>824</v>
      </c>
      <c r="E222" s="10" t="s">
        <v>825</v>
      </c>
      <c r="F222" s="11" t="s">
        <v>826</v>
      </c>
      <c r="G222" s="11">
        <v>20</v>
      </c>
    </row>
    <row r="223" s="21" customFormat="1" customHeight="1" spans="1:7">
      <c r="A223" s="61"/>
      <c r="B223" s="61">
        <v>2150</v>
      </c>
      <c r="C223" s="87" t="s">
        <v>824</v>
      </c>
      <c r="D223" s="46" t="s">
        <v>824</v>
      </c>
      <c r="E223" s="46" t="s">
        <v>825</v>
      </c>
      <c r="F223" s="42" t="s">
        <v>826</v>
      </c>
      <c r="G223" s="42">
        <v>50</v>
      </c>
    </row>
    <row r="224" s="21" customFormat="1" customHeight="1" spans="1:7">
      <c r="A224" s="61"/>
      <c r="B224" s="61">
        <v>2150</v>
      </c>
      <c r="C224" s="87" t="s">
        <v>847</v>
      </c>
      <c r="D224" s="46" t="s">
        <v>1090</v>
      </c>
      <c r="E224" s="46" t="s">
        <v>1091</v>
      </c>
      <c r="F224" s="42" t="s">
        <v>826</v>
      </c>
      <c r="G224" s="42">
        <v>270</v>
      </c>
    </row>
    <row r="225" s="21" customFormat="1" customHeight="1" spans="1:7">
      <c r="A225" s="61"/>
      <c r="B225" s="61">
        <v>2150</v>
      </c>
      <c r="C225" s="87" t="s">
        <v>839</v>
      </c>
      <c r="D225" s="46" t="s">
        <v>840</v>
      </c>
      <c r="E225" s="46"/>
      <c r="F225" s="42" t="s">
        <v>841</v>
      </c>
      <c r="G225" s="42">
        <v>100</v>
      </c>
    </row>
    <row r="226" s="21" customFormat="1" customHeight="1" spans="1:7">
      <c r="A226" s="61"/>
      <c r="B226" s="61">
        <v>2150</v>
      </c>
      <c r="C226" s="87" t="s">
        <v>842</v>
      </c>
      <c r="D226" s="46" t="s">
        <v>842</v>
      </c>
      <c r="E226" s="46"/>
      <c r="F226" s="42" t="s">
        <v>843</v>
      </c>
      <c r="G226" s="42">
        <v>1000</v>
      </c>
    </row>
    <row r="227" s="21" customFormat="1" customHeight="1" spans="1:7">
      <c r="A227" s="61"/>
      <c r="B227" s="61">
        <v>2150</v>
      </c>
      <c r="C227" s="87" t="s">
        <v>865</v>
      </c>
      <c r="D227" s="46" t="s">
        <v>866</v>
      </c>
      <c r="E227" s="46" t="s">
        <v>867</v>
      </c>
      <c r="F227" s="42" t="s">
        <v>868</v>
      </c>
      <c r="G227" s="42">
        <v>7</v>
      </c>
    </row>
    <row r="228" s="21" customFormat="1" customHeight="1" spans="1:7">
      <c r="A228" s="61"/>
      <c r="B228" s="61"/>
      <c r="C228" s="15"/>
      <c r="D228" s="46"/>
      <c r="E228" s="46"/>
      <c r="F228" s="42"/>
      <c r="G228" s="42"/>
    </row>
    <row r="229" s="21" customFormat="1" customHeight="1" spans="1:7">
      <c r="A229" s="64"/>
      <c r="B229" s="64"/>
      <c r="C229" s="36"/>
      <c r="D229" s="13" t="s">
        <v>34</v>
      </c>
      <c r="E229" s="37"/>
      <c r="F229" s="58"/>
      <c r="G229" s="58"/>
    </row>
    <row r="230" s="21" customFormat="1" customHeight="1" spans="1:7">
      <c r="A230" s="61"/>
      <c r="B230" s="61"/>
      <c r="C230" s="15"/>
      <c r="D230" s="45" t="s">
        <v>1092</v>
      </c>
      <c r="E230" s="46"/>
      <c r="F230" s="42"/>
      <c r="G230" s="42"/>
    </row>
    <row r="231" s="21" customFormat="1" customHeight="1" spans="1:7">
      <c r="A231" s="61"/>
      <c r="B231" s="61">
        <v>2153</v>
      </c>
      <c r="C231" s="15"/>
      <c r="D231" s="46" t="s">
        <v>1093</v>
      </c>
      <c r="E231" s="46" t="s">
        <v>1094</v>
      </c>
      <c r="F231" s="42" t="s">
        <v>12</v>
      </c>
      <c r="G231" s="42">
        <v>2</v>
      </c>
    </row>
    <row r="232" s="21" customFormat="1" customHeight="1" spans="1:7">
      <c r="A232" s="61"/>
      <c r="B232" s="61">
        <v>2153</v>
      </c>
      <c r="C232" s="15"/>
      <c r="D232" s="46" t="s">
        <v>1095</v>
      </c>
      <c r="E232" s="46" t="s">
        <v>1096</v>
      </c>
      <c r="F232" s="42" t="s">
        <v>12</v>
      </c>
      <c r="G232" s="42">
        <v>2</v>
      </c>
    </row>
    <row r="233" s="21" customFormat="1" customHeight="1" spans="1:7">
      <c r="A233" s="61"/>
      <c r="B233" s="61">
        <v>2153</v>
      </c>
      <c r="C233" s="15"/>
      <c r="D233" s="46" t="s">
        <v>1097</v>
      </c>
      <c r="E233" s="46" t="s">
        <v>1098</v>
      </c>
      <c r="F233" s="42" t="s">
        <v>12</v>
      </c>
      <c r="G233" s="42">
        <v>2</v>
      </c>
    </row>
    <row r="234" s="21" customFormat="1" customHeight="1" spans="1:7">
      <c r="A234" s="61"/>
      <c r="B234" s="61">
        <v>2153</v>
      </c>
      <c r="C234" s="15"/>
      <c r="D234" s="46" t="s">
        <v>1099</v>
      </c>
      <c r="E234" s="46" t="s">
        <v>1100</v>
      </c>
      <c r="F234" s="42" t="s">
        <v>12</v>
      </c>
      <c r="G234" s="42">
        <v>2</v>
      </c>
    </row>
    <row r="235" s="21" customFormat="1" customHeight="1" spans="1:7">
      <c r="A235" s="61"/>
      <c r="B235" s="61">
        <v>2153</v>
      </c>
      <c r="C235" s="15"/>
      <c r="D235" s="46" t="s">
        <v>1101</v>
      </c>
      <c r="E235" s="46" t="s">
        <v>1102</v>
      </c>
      <c r="F235" s="42" t="s">
        <v>12</v>
      </c>
      <c r="G235" s="42">
        <v>2</v>
      </c>
    </row>
    <row r="236" s="21" customFormat="1" customHeight="1" spans="1:7">
      <c r="A236" s="61"/>
      <c r="B236" s="61">
        <v>2153</v>
      </c>
      <c r="C236" s="15"/>
      <c r="D236" s="46" t="s">
        <v>1103</v>
      </c>
      <c r="E236" s="46" t="s">
        <v>1104</v>
      </c>
      <c r="F236" s="42" t="s">
        <v>12</v>
      </c>
      <c r="G236" s="42">
        <v>2</v>
      </c>
    </row>
    <row r="237" s="21" customFormat="1" customHeight="1" spans="1:7">
      <c r="A237" s="61"/>
      <c r="B237" s="61">
        <v>2153</v>
      </c>
      <c r="C237" s="15"/>
      <c r="D237" s="46" t="s">
        <v>1105</v>
      </c>
      <c r="E237" s="46" t="s">
        <v>1106</v>
      </c>
      <c r="F237" s="42" t="s">
        <v>12</v>
      </c>
      <c r="G237" s="42">
        <v>2</v>
      </c>
    </row>
    <row r="238" s="21" customFormat="1" customHeight="1" spans="1:7">
      <c r="A238" s="61"/>
      <c r="B238" s="61">
        <v>2153</v>
      </c>
      <c r="C238" s="15"/>
      <c r="D238" s="46" t="s">
        <v>1107</v>
      </c>
      <c r="E238" s="46" t="s">
        <v>1108</v>
      </c>
      <c r="F238" s="42" t="s">
        <v>12</v>
      </c>
      <c r="G238" s="42">
        <v>1</v>
      </c>
    </row>
    <row r="239" s="21" customFormat="1" customHeight="1" spans="1:7">
      <c r="A239" s="61"/>
      <c r="B239" s="61">
        <v>2153</v>
      </c>
      <c r="C239" s="15"/>
      <c r="D239" s="46" t="s">
        <v>1109</v>
      </c>
      <c r="E239" s="46" t="s">
        <v>1106</v>
      </c>
      <c r="F239" s="42" t="s">
        <v>12</v>
      </c>
      <c r="G239" s="42">
        <v>3</v>
      </c>
    </row>
    <row r="240" s="21" customFormat="1" customHeight="1" spans="1:7">
      <c r="A240" s="61"/>
      <c r="B240" s="61">
        <v>2153</v>
      </c>
      <c r="C240" s="15"/>
      <c r="D240" s="46" t="s">
        <v>1110</v>
      </c>
      <c r="E240" s="46" t="s">
        <v>1111</v>
      </c>
      <c r="F240" s="42" t="s">
        <v>12</v>
      </c>
      <c r="G240" s="42">
        <v>2</v>
      </c>
    </row>
    <row r="241" s="21" customFormat="1" customHeight="1" spans="1:7">
      <c r="A241" s="61"/>
      <c r="B241" s="61">
        <v>2153</v>
      </c>
      <c r="C241" s="15"/>
      <c r="D241" s="46" t="s">
        <v>1112</v>
      </c>
      <c r="E241" s="46" t="s">
        <v>1113</v>
      </c>
      <c r="F241" s="42" t="s">
        <v>12</v>
      </c>
      <c r="G241" s="42">
        <v>2</v>
      </c>
    </row>
    <row r="242" s="21" customFormat="1" customHeight="1" spans="1:7">
      <c r="A242" s="61"/>
      <c r="B242" s="61">
        <v>2153</v>
      </c>
      <c r="C242" s="15"/>
      <c r="D242" s="46" t="s">
        <v>1114</v>
      </c>
      <c r="E242" s="46" t="s">
        <v>1115</v>
      </c>
      <c r="F242" s="42" t="s">
        <v>12</v>
      </c>
      <c r="G242" s="42">
        <v>2</v>
      </c>
    </row>
    <row r="243" s="21" customFormat="1" customHeight="1" spans="1:7">
      <c r="A243" s="61"/>
      <c r="B243" s="61">
        <v>2153</v>
      </c>
      <c r="C243" s="15"/>
      <c r="D243" s="46" t="s">
        <v>1116</v>
      </c>
      <c r="E243" s="46" t="s">
        <v>1117</v>
      </c>
      <c r="F243" s="42" t="s">
        <v>12</v>
      </c>
      <c r="G243" s="42">
        <v>2</v>
      </c>
    </row>
    <row r="244" s="21" customFormat="1" customHeight="1" spans="1:7">
      <c r="A244" s="61"/>
      <c r="B244" s="61">
        <v>2153</v>
      </c>
      <c r="C244" s="15"/>
      <c r="D244" s="46" t="s">
        <v>1118</v>
      </c>
      <c r="E244" s="46" t="s">
        <v>1119</v>
      </c>
      <c r="F244" s="42" t="s">
        <v>12</v>
      </c>
      <c r="G244" s="42">
        <v>2</v>
      </c>
    </row>
    <row r="245" s="21" customFormat="1" customHeight="1" spans="1:7">
      <c r="A245" s="61"/>
      <c r="B245" s="61">
        <v>2153</v>
      </c>
      <c r="C245" s="15"/>
      <c r="D245" s="46" t="s">
        <v>1120</v>
      </c>
      <c r="E245" s="46" t="s">
        <v>1121</v>
      </c>
      <c r="F245" s="42" t="s">
        <v>12</v>
      </c>
      <c r="G245" s="42">
        <v>2</v>
      </c>
    </row>
    <row r="246" s="21" customFormat="1" customHeight="1" spans="1:7">
      <c r="A246" s="61"/>
      <c r="B246" s="61">
        <v>2153</v>
      </c>
      <c r="C246" s="15"/>
      <c r="D246" s="46" t="s">
        <v>1122</v>
      </c>
      <c r="E246" s="46" t="s">
        <v>1123</v>
      </c>
      <c r="F246" s="42" t="s">
        <v>12</v>
      </c>
      <c r="G246" s="42">
        <v>2</v>
      </c>
    </row>
    <row r="247" s="21" customFormat="1" customHeight="1" spans="1:7">
      <c r="A247" s="61"/>
      <c r="B247" s="61">
        <v>2153</v>
      </c>
      <c r="C247" s="15"/>
      <c r="D247" s="46" t="s">
        <v>1124</v>
      </c>
      <c r="E247" s="46" t="s">
        <v>1125</v>
      </c>
      <c r="F247" s="42" t="s">
        <v>23</v>
      </c>
      <c r="G247" s="42"/>
    </row>
    <row r="248" s="21" customFormat="1" customHeight="1" spans="1:7">
      <c r="A248" s="61"/>
      <c r="B248" s="61">
        <v>2153</v>
      </c>
      <c r="C248" s="15"/>
      <c r="D248" s="46" t="s">
        <v>1126</v>
      </c>
      <c r="E248" s="46" t="s">
        <v>1127</v>
      </c>
      <c r="F248" s="42" t="s">
        <v>12</v>
      </c>
      <c r="G248" s="42">
        <v>1</v>
      </c>
    </row>
    <row r="249" s="21" customFormat="1" customHeight="1" spans="1:7">
      <c r="A249" s="61"/>
      <c r="B249" s="61">
        <v>2153</v>
      </c>
      <c r="C249" s="15"/>
      <c r="D249" s="46" t="s">
        <v>1128</v>
      </c>
      <c r="E249" s="46" t="s">
        <v>1129</v>
      </c>
      <c r="F249" s="42" t="s">
        <v>12</v>
      </c>
      <c r="G249" s="42">
        <v>1</v>
      </c>
    </row>
    <row r="250" s="21" customFormat="1" customHeight="1" spans="1:7">
      <c r="A250" s="61"/>
      <c r="B250" s="61">
        <v>2153</v>
      </c>
      <c r="C250" s="15"/>
      <c r="D250" s="46" t="s">
        <v>1130</v>
      </c>
      <c r="E250" s="46" t="s">
        <v>1131</v>
      </c>
      <c r="F250" s="42" t="s">
        <v>12</v>
      </c>
      <c r="G250" s="42">
        <v>1</v>
      </c>
    </row>
    <row r="251" s="21" customFormat="1" customHeight="1" spans="1:7">
      <c r="A251" s="61"/>
      <c r="B251" s="61">
        <v>2153</v>
      </c>
      <c r="C251" s="15"/>
      <c r="D251" s="46" t="s">
        <v>1132</v>
      </c>
      <c r="E251" s="46" t="s">
        <v>1133</v>
      </c>
      <c r="F251" s="42" t="s">
        <v>23</v>
      </c>
      <c r="G251" s="42">
        <v>2</v>
      </c>
    </row>
    <row r="252" s="21" customFormat="1" customHeight="1" spans="1:7">
      <c r="A252" s="61"/>
      <c r="B252" s="61">
        <v>2153</v>
      </c>
      <c r="C252" s="15"/>
      <c r="D252" s="46" t="s">
        <v>1134</v>
      </c>
      <c r="E252" s="46" t="s">
        <v>1135</v>
      </c>
      <c r="F252" s="42" t="s">
        <v>12</v>
      </c>
      <c r="G252" s="42">
        <v>1</v>
      </c>
    </row>
    <row r="253" s="21" customFormat="1" customHeight="1" spans="1:7">
      <c r="A253" s="61"/>
      <c r="B253" s="61">
        <v>2153</v>
      </c>
      <c r="C253" s="15"/>
      <c r="D253" s="46" t="s">
        <v>1136</v>
      </c>
      <c r="E253" s="46" t="s">
        <v>1137</v>
      </c>
      <c r="F253" s="42" t="s">
        <v>12</v>
      </c>
      <c r="G253" s="42">
        <v>1</v>
      </c>
    </row>
    <row r="254" s="21" customFormat="1" customHeight="1" spans="1:7">
      <c r="A254" s="61"/>
      <c r="B254" s="61">
        <v>2153</v>
      </c>
      <c r="C254" s="15"/>
      <c r="D254" s="46" t="s">
        <v>1138</v>
      </c>
      <c r="E254" s="46" t="s">
        <v>1139</v>
      </c>
      <c r="F254" s="42" t="s">
        <v>12</v>
      </c>
      <c r="G254" s="42">
        <v>1</v>
      </c>
    </row>
    <row r="255" s="21" customFormat="1" customHeight="1" spans="1:7">
      <c r="A255" s="61"/>
      <c r="B255" s="61">
        <v>2153</v>
      </c>
      <c r="C255" s="15"/>
      <c r="D255" s="46" t="s">
        <v>1140</v>
      </c>
      <c r="E255" s="46" t="s">
        <v>1141</v>
      </c>
      <c r="F255" s="42" t="s">
        <v>12</v>
      </c>
      <c r="G255" s="42">
        <v>1</v>
      </c>
    </row>
    <row r="256" s="21" customFormat="1" customHeight="1" spans="1:7">
      <c r="A256" s="61"/>
      <c r="B256" s="61">
        <v>2153</v>
      </c>
      <c r="C256" s="15"/>
      <c r="D256" s="46" t="s">
        <v>1142</v>
      </c>
      <c r="E256" s="46" t="s">
        <v>1034</v>
      </c>
      <c r="F256" s="42" t="s">
        <v>12</v>
      </c>
      <c r="G256" s="42">
        <v>1</v>
      </c>
    </row>
    <row r="257" s="21" customFormat="1" ht="22.5" customHeight="1" spans="1:7">
      <c r="A257" s="61"/>
      <c r="B257" s="61">
        <v>2153</v>
      </c>
      <c r="C257" s="15"/>
      <c r="D257" s="46" t="s">
        <v>1143</v>
      </c>
      <c r="E257" s="37" t="s">
        <v>1144</v>
      </c>
      <c r="F257" s="42" t="s">
        <v>12</v>
      </c>
      <c r="G257" s="42">
        <v>2</v>
      </c>
    </row>
    <row r="258" s="21" customFormat="1" customHeight="1" spans="1:7">
      <c r="A258" s="61"/>
      <c r="B258" s="61">
        <v>2153</v>
      </c>
      <c r="C258" s="15"/>
      <c r="D258" s="46" t="s">
        <v>1145</v>
      </c>
      <c r="E258" s="46" t="s">
        <v>1146</v>
      </c>
      <c r="F258" s="42" t="s">
        <v>12</v>
      </c>
      <c r="G258" s="42">
        <v>2</v>
      </c>
    </row>
    <row r="259" s="21" customFormat="1" customHeight="1" spans="1:7">
      <c r="A259" s="61"/>
      <c r="B259" s="61">
        <v>2153</v>
      </c>
      <c r="C259" s="15"/>
      <c r="D259" s="46" t="s">
        <v>1147</v>
      </c>
      <c r="E259" s="46" t="s">
        <v>1148</v>
      </c>
      <c r="F259" s="42" t="s">
        <v>12</v>
      </c>
      <c r="G259" s="42">
        <v>2</v>
      </c>
    </row>
    <row r="260" s="21" customFormat="1" customHeight="1" spans="1:7">
      <c r="A260" s="61"/>
      <c r="B260" s="61">
        <v>2153</v>
      </c>
      <c r="C260" s="15"/>
      <c r="D260" s="46" t="s">
        <v>1149</v>
      </c>
      <c r="E260" s="46" t="s">
        <v>1150</v>
      </c>
      <c r="F260" s="42" t="s">
        <v>12</v>
      </c>
      <c r="G260" s="42">
        <v>2</v>
      </c>
    </row>
    <row r="261" s="21" customFormat="1" customHeight="1" spans="1:7">
      <c r="A261" s="61"/>
      <c r="B261" s="61">
        <v>2153</v>
      </c>
      <c r="C261" s="15"/>
      <c r="D261" s="46" t="s">
        <v>1151</v>
      </c>
      <c r="E261" s="46" t="s">
        <v>1152</v>
      </c>
      <c r="F261" s="42" t="s">
        <v>12</v>
      </c>
      <c r="G261" s="42">
        <v>2</v>
      </c>
    </row>
    <row r="262" s="21" customFormat="1" customHeight="1" spans="1:7">
      <c r="A262" s="61"/>
      <c r="B262" s="61">
        <v>2153</v>
      </c>
      <c r="C262" s="15"/>
      <c r="D262" s="46" t="s">
        <v>1153</v>
      </c>
      <c r="E262" s="46" t="s">
        <v>1154</v>
      </c>
      <c r="F262" s="42" t="s">
        <v>12</v>
      </c>
      <c r="G262" s="42">
        <v>2</v>
      </c>
    </row>
    <row r="263" s="21" customFormat="1" customHeight="1" spans="1:7">
      <c r="A263" s="61"/>
      <c r="B263" s="61">
        <v>2153</v>
      </c>
      <c r="C263" s="15"/>
      <c r="D263" s="46" t="s">
        <v>1155</v>
      </c>
      <c r="E263" s="46" t="s">
        <v>1113</v>
      </c>
      <c r="F263" s="42" t="s">
        <v>12</v>
      </c>
      <c r="G263" s="42">
        <v>2</v>
      </c>
    </row>
    <row r="264" s="21" customFormat="1" customHeight="1" spans="1:7">
      <c r="A264" s="61"/>
      <c r="B264" s="61">
        <v>2153</v>
      </c>
      <c r="C264" s="15"/>
      <c r="D264" s="46" t="s">
        <v>1009</v>
      </c>
      <c r="E264" s="46" t="s">
        <v>1156</v>
      </c>
      <c r="F264" s="42" t="s">
        <v>12</v>
      </c>
      <c r="G264" s="42">
        <v>2</v>
      </c>
    </row>
    <row r="265" s="21" customFormat="1" customHeight="1" spans="1:7">
      <c r="A265" s="61"/>
      <c r="B265" s="61">
        <v>2153</v>
      </c>
      <c r="C265" s="15"/>
      <c r="D265" s="46" t="s">
        <v>1010</v>
      </c>
      <c r="E265" s="46" t="s">
        <v>1117</v>
      </c>
      <c r="F265" s="42" t="s">
        <v>12</v>
      </c>
      <c r="G265" s="42">
        <v>2</v>
      </c>
    </row>
    <row r="266" s="21" customFormat="1" customHeight="1" spans="1:7">
      <c r="A266" s="61"/>
      <c r="B266" s="61">
        <v>2153</v>
      </c>
      <c r="C266" s="15"/>
      <c r="D266" s="46" t="s">
        <v>1012</v>
      </c>
      <c r="E266" s="46" t="s">
        <v>1157</v>
      </c>
      <c r="F266" s="42" t="s">
        <v>12</v>
      </c>
      <c r="G266" s="42">
        <v>2</v>
      </c>
    </row>
    <row r="267" s="21" customFormat="1" customHeight="1" spans="1:7">
      <c r="A267" s="61"/>
      <c r="B267" s="61">
        <v>2153</v>
      </c>
      <c r="C267" s="15"/>
      <c r="D267" s="46" t="s">
        <v>1014</v>
      </c>
      <c r="E267" s="46" t="s">
        <v>1158</v>
      </c>
      <c r="F267" s="42" t="s">
        <v>12</v>
      </c>
      <c r="G267" s="42">
        <v>2</v>
      </c>
    </row>
    <row r="268" s="21" customFormat="1" customHeight="1" spans="1:7">
      <c r="A268" s="61"/>
      <c r="B268" s="61">
        <v>2153</v>
      </c>
      <c r="C268" s="15"/>
      <c r="D268" s="46" t="s">
        <v>1016</v>
      </c>
      <c r="E268" s="46" t="s">
        <v>1159</v>
      </c>
      <c r="F268" s="42" t="s">
        <v>12</v>
      </c>
      <c r="G268" s="42">
        <v>2</v>
      </c>
    </row>
    <row r="269" s="21" customFormat="1" customHeight="1" spans="1:7">
      <c r="A269" s="61"/>
      <c r="B269" s="61"/>
      <c r="C269" s="15"/>
      <c r="D269" s="46"/>
      <c r="E269" s="46"/>
      <c r="F269" s="42"/>
      <c r="G269" s="42"/>
    </row>
    <row r="270" s="21" customFormat="1" customHeight="1" spans="1:7">
      <c r="A270" s="61"/>
      <c r="B270" s="61">
        <v>2153</v>
      </c>
      <c r="C270" s="87" t="s">
        <v>824</v>
      </c>
      <c r="D270" s="46" t="s">
        <v>824</v>
      </c>
      <c r="E270" s="46" t="s">
        <v>827</v>
      </c>
      <c r="F270" s="42" t="s">
        <v>826</v>
      </c>
      <c r="G270" s="42">
        <v>20</v>
      </c>
    </row>
    <row r="271" s="21" customFormat="1" customHeight="1" spans="1:7">
      <c r="A271" s="61"/>
      <c r="B271" s="61">
        <v>2153</v>
      </c>
      <c r="C271" s="87" t="s">
        <v>824</v>
      </c>
      <c r="D271" s="46" t="s">
        <v>824</v>
      </c>
      <c r="E271" s="46" t="s">
        <v>825</v>
      </c>
      <c r="F271" s="42" t="s">
        <v>826</v>
      </c>
      <c r="G271" s="42">
        <v>20</v>
      </c>
    </row>
    <row r="272" s="21" customFormat="1" customHeight="1" spans="1:7">
      <c r="A272" s="61"/>
      <c r="B272" s="61">
        <v>2153</v>
      </c>
      <c r="C272" s="87" t="s">
        <v>824</v>
      </c>
      <c r="D272" s="46" t="s">
        <v>824</v>
      </c>
      <c r="E272" s="46" t="s">
        <v>825</v>
      </c>
      <c r="F272" s="42" t="s">
        <v>826</v>
      </c>
      <c r="G272" s="42">
        <v>15</v>
      </c>
    </row>
    <row r="273" s="21" customFormat="1" customHeight="1" spans="1:7">
      <c r="A273" s="61"/>
      <c r="B273" s="61">
        <v>2153</v>
      </c>
      <c r="C273" s="87" t="s">
        <v>824</v>
      </c>
      <c r="D273" s="46" t="s">
        <v>824</v>
      </c>
      <c r="E273" s="46" t="s">
        <v>827</v>
      </c>
      <c r="F273" s="42" t="s">
        <v>826</v>
      </c>
      <c r="G273" s="42">
        <v>20</v>
      </c>
    </row>
    <row r="274" s="21" customFormat="1" customHeight="1" spans="1:7">
      <c r="A274" s="61"/>
      <c r="B274" s="61"/>
      <c r="C274" s="15"/>
      <c r="D274" s="46"/>
      <c r="E274" s="46"/>
      <c r="F274" s="42"/>
      <c r="G274" s="42"/>
    </row>
    <row r="275" s="21" customFormat="1" customHeight="1" spans="1:7">
      <c r="A275" s="64"/>
      <c r="B275" s="64"/>
      <c r="C275" s="36"/>
      <c r="D275" s="13" t="s">
        <v>34</v>
      </c>
      <c r="E275" s="37"/>
      <c r="F275" s="58"/>
      <c r="G275" s="58"/>
    </row>
    <row r="276" s="21" customFormat="1" customHeight="1" spans="1:7">
      <c r="A276" s="61"/>
      <c r="B276" s="61"/>
      <c r="C276" s="15"/>
      <c r="D276" s="45" t="s">
        <v>1160</v>
      </c>
      <c r="E276" s="46"/>
      <c r="F276" s="42"/>
      <c r="G276" s="42"/>
    </row>
    <row r="277" s="21" customFormat="1" customHeight="1" spans="1:7">
      <c r="A277" s="61"/>
      <c r="B277" s="61">
        <v>2160</v>
      </c>
      <c r="C277" s="15"/>
      <c r="D277" s="46" t="s">
        <v>1161</v>
      </c>
      <c r="E277" s="46" t="s">
        <v>1162</v>
      </c>
      <c r="F277" s="42" t="s">
        <v>23</v>
      </c>
      <c r="G277" s="42">
        <v>1</v>
      </c>
    </row>
    <row r="278" s="21" customFormat="1" customHeight="1" spans="1:7">
      <c r="A278" s="61"/>
      <c r="B278" s="61">
        <v>2160</v>
      </c>
      <c r="C278" s="15"/>
      <c r="D278" s="46" t="s">
        <v>1163</v>
      </c>
      <c r="E278" s="46" t="s">
        <v>1164</v>
      </c>
      <c r="F278" s="42" t="s">
        <v>12</v>
      </c>
      <c r="G278" s="42">
        <v>2</v>
      </c>
    </row>
    <row r="279" s="21" customFormat="1" customHeight="1" spans="1:7">
      <c r="A279" s="61"/>
      <c r="B279" s="61">
        <v>2160</v>
      </c>
      <c r="C279" s="15"/>
      <c r="D279" s="46" t="s">
        <v>1165</v>
      </c>
      <c r="E279" s="46" t="s">
        <v>1166</v>
      </c>
      <c r="F279" s="42" t="s">
        <v>12</v>
      </c>
      <c r="G279" s="42">
        <v>1</v>
      </c>
    </row>
    <row r="280" s="21" customFormat="1" customHeight="1" spans="1:7">
      <c r="A280" s="61"/>
      <c r="B280" s="61">
        <v>2160</v>
      </c>
      <c r="C280" s="15"/>
      <c r="D280" s="46" t="s">
        <v>1167</v>
      </c>
      <c r="E280" s="46" t="s">
        <v>1168</v>
      </c>
      <c r="F280" s="42" t="s">
        <v>12</v>
      </c>
      <c r="G280" s="42">
        <v>2</v>
      </c>
    </row>
    <row r="281" s="21" customFormat="1" customHeight="1" spans="1:7">
      <c r="A281" s="61"/>
      <c r="B281" s="61">
        <v>2160</v>
      </c>
      <c r="C281" s="15"/>
      <c r="D281" s="46" t="s">
        <v>1169</v>
      </c>
      <c r="E281" s="46" t="s">
        <v>1170</v>
      </c>
      <c r="F281" s="42" t="s">
        <v>12</v>
      </c>
      <c r="G281" s="42">
        <v>2</v>
      </c>
    </row>
    <row r="282" s="21" customFormat="1" customHeight="1" spans="1:7">
      <c r="A282" s="61"/>
      <c r="B282" s="61">
        <v>2160</v>
      </c>
      <c r="C282" s="15"/>
      <c r="D282" s="46" t="s">
        <v>1171</v>
      </c>
      <c r="E282" s="46" t="s">
        <v>1172</v>
      </c>
      <c r="F282" s="42" t="s">
        <v>12</v>
      </c>
      <c r="G282" s="42">
        <v>2</v>
      </c>
    </row>
    <row r="283" s="21" customFormat="1" customHeight="1" spans="1:7">
      <c r="A283" s="61"/>
      <c r="B283" s="61">
        <v>2160</v>
      </c>
      <c r="C283" s="15"/>
      <c r="D283" s="46" t="s">
        <v>1173</v>
      </c>
      <c r="E283" s="46" t="s">
        <v>1174</v>
      </c>
      <c r="F283" s="42" t="s">
        <v>12</v>
      </c>
      <c r="G283" s="42">
        <v>2</v>
      </c>
    </row>
    <row r="284" s="21" customFormat="1" customHeight="1" spans="1:7">
      <c r="A284" s="61"/>
      <c r="B284" s="61">
        <v>2160</v>
      </c>
      <c r="C284" s="15"/>
      <c r="D284" s="46" t="s">
        <v>1175</v>
      </c>
      <c r="E284" s="46" t="s">
        <v>1001</v>
      </c>
      <c r="F284" s="42" t="s">
        <v>12</v>
      </c>
      <c r="G284" s="42">
        <v>2</v>
      </c>
    </row>
    <row r="285" s="21" customFormat="1" customHeight="1" spans="1:7">
      <c r="A285" s="61"/>
      <c r="B285" s="61">
        <v>2160</v>
      </c>
      <c r="C285" s="15"/>
      <c r="D285" s="46" t="s">
        <v>950</v>
      </c>
      <c r="E285" s="46" t="s">
        <v>1176</v>
      </c>
      <c r="F285" s="42" t="s">
        <v>12</v>
      </c>
      <c r="G285" s="42">
        <v>2</v>
      </c>
    </row>
    <row r="286" s="21" customFormat="1" customHeight="1" spans="1:7">
      <c r="A286" s="61"/>
      <c r="B286" s="61">
        <v>2160</v>
      </c>
      <c r="C286" s="15"/>
      <c r="D286" s="46" t="s">
        <v>1177</v>
      </c>
      <c r="E286" s="46" t="s">
        <v>1170</v>
      </c>
      <c r="F286" s="42" t="s">
        <v>12</v>
      </c>
      <c r="G286" s="42">
        <v>1</v>
      </c>
    </row>
    <row r="287" s="21" customFormat="1" customHeight="1" spans="1:7">
      <c r="A287" s="61"/>
      <c r="B287" s="61">
        <v>2160</v>
      </c>
      <c r="C287" s="15"/>
      <c r="D287" s="46" t="s">
        <v>1178</v>
      </c>
      <c r="E287" s="46" t="s">
        <v>1034</v>
      </c>
      <c r="F287" s="42" t="s">
        <v>12</v>
      </c>
      <c r="G287" s="42">
        <v>1</v>
      </c>
    </row>
    <row r="288" s="21" customFormat="1" customHeight="1" spans="1:7">
      <c r="A288" s="61"/>
      <c r="B288" s="61">
        <v>2160</v>
      </c>
      <c r="C288" s="15"/>
      <c r="D288" s="46" t="s">
        <v>1179</v>
      </c>
      <c r="E288" s="46" t="s">
        <v>1180</v>
      </c>
      <c r="F288" s="42" t="s">
        <v>12</v>
      </c>
      <c r="G288" s="42">
        <v>1</v>
      </c>
    </row>
    <row r="289" s="21" customFormat="1" customHeight="1" spans="1:7">
      <c r="A289" s="61"/>
      <c r="B289" s="61">
        <v>2160</v>
      </c>
      <c r="C289" s="15"/>
      <c r="D289" s="46" t="s">
        <v>1181</v>
      </c>
      <c r="E289" s="46" t="s">
        <v>1182</v>
      </c>
      <c r="F289" s="42" t="s">
        <v>23</v>
      </c>
      <c r="G289" s="42">
        <v>1</v>
      </c>
    </row>
    <row r="290" s="21" customFormat="1" customHeight="1" spans="1:7">
      <c r="A290" s="61"/>
      <c r="B290" s="61">
        <v>2160</v>
      </c>
      <c r="C290" s="15"/>
      <c r="D290" s="46" t="s">
        <v>1183</v>
      </c>
      <c r="E290" s="46" t="s">
        <v>1184</v>
      </c>
      <c r="F290" s="42" t="s">
        <v>12</v>
      </c>
      <c r="G290" s="42">
        <v>2</v>
      </c>
    </row>
    <row r="291" s="21" customFormat="1" customHeight="1" spans="1:7">
      <c r="A291" s="61"/>
      <c r="B291" s="61">
        <v>2160</v>
      </c>
      <c r="C291" s="15"/>
      <c r="D291" s="46" t="s">
        <v>1185</v>
      </c>
      <c r="E291" s="46" t="s">
        <v>1166</v>
      </c>
      <c r="F291" s="42" t="s">
        <v>12</v>
      </c>
      <c r="G291" s="42">
        <v>1</v>
      </c>
    </row>
    <row r="292" s="21" customFormat="1" customHeight="1" spans="1:7">
      <c r="A292" s="61"/>
      <c r="B292" s="61">
        <v>2160</v>
      </c>
      <c r="C292" s="15"/>
      <c r="D292" s="46" t="s">
        <v>1167</v>
      </c>
      <c r="E292" s="46" t="s">
        <v>1186</v>
      </c>
      <c r="F292" s="42" t="s">
        <v>12</v>
      </c>
      <c r="G292" s="42">
        <v>2</v>
      </c>
    </row>
    <row r="293" s="21" customFormat="1" customHeight="1" spans="1:7">
      <c r="A293" s="61"/>
      <c r="B293" s="61">
        <v>2160</v>
      </c>
      <c r="C293" s="15"/>
      <c r="D293" s="46" t="s">
        <v>1187</v>
      </c>
      <c r="E293" s="46" t="s">
        <v>1188</v>
      </c>
      <c r="F293" s="42" t="s">
        <v>12</v>
      </c>
      <c r="G293" s="42">
        <v>2</v>
      </c>
    </row>
    <row r="294" s="21" customFormat="1" customHeight="1" spans="1:7">
      <c r="A294" s="61"/>
      <c r="B294" s="61">
        <v>2160</v>
      </c>
      <c r="C294" s="15"/>
      <c r="D294" s="46" t="s">
        <v>1189</v>
      </c>
      <c r="E294" s="46" t="s">
        <v>1190</v>
      </c>
      <c r="F294" s="42" t="s">
        <v>12</v>
      </c>
      <c r="G294" s="42">
        <v>2</v>
      </c>
    </row>
    <row r="295" s="21" customFormat="1" customHeight="1" spans="1:7">
      <c r="A295" s="61"/>
      <c r="B295" s="61">
        <v>2160</v>
      </c>
      <c r="C295" s="15"/>
      <c r="D295" s="46" t="s">
        <v>1191</v>
      </c>
      <c r="E295" s="46" t="s">
        <v>1192</v>
      </c>
      <c r="F295" s="42" t="s">
        <v>12</v>
      </c>
      <c r="G295" s="42">
        <v>2</v>
      </c>
    </row>
    <row r="296" s="21" customFormat="1" customHeight="1" spans="1:7">
      <c r="A296" s="61"/>
      <c r="B296" s="61">
        <v>2160</v>
      </c>
      <c r="C296" s="15"/>
      <c r="D296" s="46" t="s">
        <v>1193</v>
      </c>
      <c r="E296" s="46" t="s">
        <v>1013</v>
      </c>
      <c r="F296" s="42" t="s">
        <v>12</v>
      </c>
      <c r="G296" s="42">
        <v>2</v>
      </c>
    </row>
    <row r="297" s="21" customFormat="1" customHeight="1" spans="1:7">
      <c r="A297" s="61"/>
      <c r="B297" s="61">
        <v>2160</v>
      </c>
      <c r="C297" s="15"/>
      <c r="D297" s="46" t="s">
        <v>1194</v>
      </c>
      <c r="E297" s="46" t="s">
        <v>1195</v>
      </c>
      <c r="F297" s="42" t="s">
        <v>12</v>
      </c>
      <c r="G297" s="42">
        <v>2</v>
      </c>
    </row>
    <row r="298" s="21" customFormat="1" customHeight="1" spans="1:7">
      <c r="A298" s="61"/>
      <c r="B298" s="61">
        <v>2160</v>
      </c>
      <c r="C298" s="15"/>
      <c r="D298" s="73" t="s">
        <v>1196</v>
      </c>
      <c r="E298" s="46" t="s">
        <v>1197</v>
      </c>
      <c r="F298" s="42" t="s">
        <v>26</v>
      </c>
      <c r="G298" s="42">
        <v>4</v>
      </c>
    </row>
    <row r="299" s="21" customFormat="1" customHeight="1" spans="1:7">
      <c r="A299" s="61"/>
      <c r="B299" s="61">
        <v>2160</v>
      </c>
      <c r="C299" s="15"/>
      <c r="D299" s="73" t="s">
        <v>1198</v>
      </c>
      <c r="E299" s="46" t="s">
        <v>1197</v>
      </c>
      <c r="F299" s="42" t="s">
        <v>26</v>
      </c>
      <c r="G299" s="42">
        <v>1</v>
      </c>
    </row>
    <row r="300" s="21" customFormat="1" customHeight="1" spans="1:7">
      <c r="A300" s="61"/>
      <c r="B300" s="61">
        <v>2160</v>
      </c>
      <c r="C300" s="15"/>
      <c r="D300" s="73" t="s">
        <v>1199</v>
      </c>
      <c r="E300" s="46" t="s">
        <v>1200</v>
      </c>
      <c r="F300" s="42" t="s">
        <v>26</v>
      </c>
      <c r="G300" s="42">
        <v>1</v>
      </c>
    </row>
    <row r="301" s="21" customFormat="1" customHeight="1" spans="1:7">
      <c r="A301" s="61"/>
      <c r="B301" s="61"/>
      <c r="C301" s="15"/>
      <c r="D301" s="46"/>
      <c r="E301" s="46"/>
      <c r="F301" s="42"/>
      <c r="G301" s="42"/>
    </row>
    <row r="302" s="21" customFormat="1" customHeight="1" spans="1:7">
      <c r="A302" s="64"/>
      <c r="B302" s="64"/>
      <c r="C302" s="36"/>
      <c r="D302" s="13" t="s">
        <v>34</v>
      </c>
      <c r="E302" s="37"/>
      <c r="F302" s="58"/>
      <c r="G302" s="58"/>
    </row>
    <row r="303" s="21" customFormat="1" customHeight="1" spans="1:7">
      <c r="A303" s="61"/>
      <c r="B303" s="61"/>
      <c r="C303" s="15"/>
      <c r="D303" s="45" t="s">
        <v>1201</v>
      </c>
      <c r="E303" s="46"/>
      <c r="F303" s="42"/>
      <c r="G303" s="42"/>
    </row>
    <row r="304" s="21" customFormat="1" customHeight="1" spans="1:7">
      <c r="A304" s="61"/>
      <c r="B304" s="61"/>
      <c r="C304" s="15"/>
      <c r="D304" s="46" t="s">
        <v>1202</v>
      </c>
      <c r="E304" s="46"/>
      <c r="F304" s="42" t="s">
        <v>23</v>
      </c>
      <c r="G304" s="42">
        <v>3</v>
      </c>
    </row>
    <row r="305" s="21" customFormat="1" customHeight="1" spans="1:7">
      <c r="A305" s="61"/>
      <c r="B305" s="61">
        <v>2161</v>
      </c>
      <c r="C305" s="87" t="s">
        <v>824</v>
      </c>
      <c r="D305" s="46" t="s">
        <v>824</v>
      </c>
      <c r="E305" s="46" t="s">
        <v>825</v>
      </c>
      <c r="F305" s="42" t="s">
        <v>826</v>
      </c>
      <c r="G305" s="42">
        <v>380</v>
      </c>
    </row>
    <row r="306" s="21" customFormat="1" customHeight="1" spans="1:7">
      <c r="A306" s="61"/>
      <c r="B306" s="61">
        <v>2161</v>
      </c>
      <c r="C306" s="87" t="s">
        <v>824</v>
      </c>
      <c r="D306" s="46" t="s">
        <v>824</v>
      </c>
      <c r="E306" s="46" t="s">
        <v>827</v>
      </c>
      <c r="F306" s="42" t="s">
        <v>826</v>
      </c>
      <c r="G306" s="42">
        <v>380</v>
      </c>
    </row>
    <row r="307" s="21" customFormat="1" customHeight="1" spans="1:7">
      <c r="A307" s="61"/>
      <c r="B307" s="61">
        <v>2161</v>
      </c>
      <c r="C307" s="87" t="s">
        <v>824</v>
      </c>
      <c r="D307" s="46" t="s">
        <v>824</v>
      </c>
      <c r="E307" s="46" t="s">
        <v>828</v>
      </c>
      <c r="F307" s="42" t="s">
        <v>826</v>
      </c>
      <c r="G307" s="42">
        <v>380</v>
      </c>
    </row>
    <row r="308" s="21" customFormat="1" customHeight="1" spans="1:7">
      <c r="A308" s="61"/>
      <c r="B308" s="61">
        <v>2161</v>
      </c>
      <c r="C308" s="87" t="s">
        <v>824</v>
      </c>
      <c r="D308" s="46" t="s">
        <v>824</v>
      </c>
      <c r="E308" s="46" t="s">
        <v>828</v>
      </c>
      <c r="F308" s="42" t="s">
        <v>826</v>
      </c>
      <c r="G308" s="42">
        <v>380</v>
      </c>
    </row>
    <row r="309" s="21" customFormat="1" customHeight="1" spans="1:7">
      <c r="A309" s="61"/>
      <c r="B309" s="61">
        <v>2161</v>
      </c>
      <c r="C309" s="87" t="s">
        <v>824</v>
      </c>
      <c r="D309" s="46" t="s">
        <v>824</v>
      </c>
      <c r="E309" s="46" t="s">
        <v>829</v>
      </c>
      <c r="F309" s="42" t="s">
        <v>826</v>
      </c>
      <c r="G309" s="42">
        <v>380</v>
      </c>
    </row>
    <row r="310" s="21" customFormat="1" customHeight="1" spans="1:7">
      <c r="A310" s="61"/>
      <c r="B310" s="61">
        <v>2161</v>
      </c>
      <c r="C310" s="87" t="s">
        <v>824</v>
      </c>
      <c r="D310" s="46" t="s">
        <v>824</v>
      </c>
      <c r="E310" s="46" t="s">
        <v>825</v>
      </c>
      <c r="F310" s="42" t="s">
        <v>826</v>
      </c>
      <c r="G310" s="42">
        <f>380*0</f>
        <v>0</v>
      </c>
    </row>
    <row r="311" s="21" customFormat="1" customHeight="1" spans="1:7">
      <c r="A311" s="61"/>
      <c r="B311" s="61">
        <v>2161</v>
      </c>
      <c r="C311" s="87" t="s">
        <v>824</v>
      </c>
      <c r="D311" s="46" t="s">
        <v>824</v>
      </c>
      <c r="E311" s="46" t="s">
        <v>830</v>
      </c>
      <c r="F311" s="42" t="s">
        <v>826</v>
      </c>
      <c r="G311" s="42">
        <v>200</v>
      </c>
    </row>
    <row r="312" s="21" customFormat="1" customHeight="1" spans="1:7">
      <c r="A312" s="61"/>
      <c r="B312" s="61">
        <v>2161</v>
      </c>
      <c r="C312" s="87" t="s">
        <v>831</v>
      </c>
      <c r="D312" s="46" t="s">
        <v>832</v>
      </c>
      <c r="E312" s="46" t="s">
        <v>828</v>
      </c>
      <c r="F312" s="42" t="s">
        <v>826</v>
      </c>
      <c r="G312" s="42">
        <v>500</v>
      </c>
    </row>
    <row r="313" s="21" customFormat="1" customHeight="1" spans="1:7">
      <c r="A313" s="61"/>
      <c r="B313" s="61">
        <v>2161</v>
      </c>
      <c r="C313" s="87" t="s">
        <v>831</v>
      </c>
      <c r="D313" s="46" t="s">
        <v>832</v>
      </c>
      <c r="E313" s="46" t="s">
        <v>833</v>
      </c>
      <c r="F313" s="42" t="s">
        <v>826</v>
      </c>
      <c r="G313" s="42">
        <v>500</v>
      </c>
    </row>
    <row r="314" s="21" customFormat="1" customHeight="1" spans="1:7">
      <c r="A314" s="61"/>
      <c r="B314" s="61">
        <v>2161</v>
      </c>
      <c r="C314" s="87" t="s">
        <v>824</v>
      </c>
      <c r="D314" s="46" t="s">
        <v>824</v>
      </c>
      <c r="E314" s="46" t="s">
        <v>825</v>
      </c>
      <c r="F314" s="42" t="s">
        <v>826</v>
      </c>
      <c r="G314" s="42">
        <v>100</v>
      </c>
    </row>
    <row r="315" s="21" customFormat="1" customHeight="1" spans="1:7">
      <c r="A315" s="61"/>
      <c r="B315" s="61">
        <v>2161</v>
      </c>
      <c r="C315" s="87" t="s">
        <v>824</v>
      </c>
      <c r="D315" s="46" t="s">
        <v>824</v>
      </c>
      <c r="E315" s="46" t="s">
        <v>830</v>
      </c>
      <c r="F315" s="42" t="s">
        <v>826</v>
      </c>
      <c r="G315" s="42">
        <v>400</v>
      </c>
    </row>
    <row r="316" s="21" customFormat="1" customHeight="1" spans="1:7">
      <c r="A316" s="61"/>
      <c r="B316" s="61">
        <v>2161</v>
      </c>
      <c r="C316" s="87" t="s">
        <v>844</v>
      </c>
      <c r="D316" s="46" t="s">
        <v>844</v>
      </c>
      <c r="E316" s="46" t="s">
        <v>825</v>
      </c>
      <c r="F316" s="42" t="s">
        <v>826</v>
      </c>
      <c r="G316" s="42">
        <v>1500</v>
      </c>
    </row>
    <row r="317" s="21" customFormat="1" customHeight="1" spans="1:7">
      <c r="A317" s="61"/>
      <c r="B317" s="61">
        <v>2161</v>
      </c>
      <c r="C317" s="87" t="s">
        <v>681</v>
      </c>
      <c r="D317" s="46" t="s">
        <v>681</v>
      </c>
      <c r="E317" s="46" t="s">
        <v>833</v>
      </c>
      <c r="F317" s="42" t="s">
        <v>826</v>
      </c>
      <c r="G317" s="42">
        <v>300</v>
      </c>
    </row>
    <row r="318" s="21" customFormat="1" customHeight="1" spans="1:7">
      <c r="A318" s="61"/>
      <c r="B318" s="61">
        <v>2161</v>
      </c>
      <c r="C318" s="87" t="s">
        <v>681</v>
      </c>
      <c r="D318" s="46" t="s">
        <v>681</v>
      </c>
      <c r="E318" s="46" t="s">
        <v>833</v>
      </c>
      <c r="F318" s="42" t="s">
        <v>826</v>
      </c>
      <c r="G318" s="42">
        <v>300</v>
      </c>
    </row>
    <row r="319" s="21" customFormat="1" customHeight="1" spans="1:7">
      <c r="A319" s="61"/>
      <c r="B319" s="61">
        <v>2161</v>
      </c>
      <c r="C319" s="87" t="s">
        <v>831</v>
      </c>
      <c r="D319" s="46" t="s">
        <v>831</v>
      </c>
      <c r="E319" s="46" t="s">
        <v>1203</v>
      </c>
      <c r="F319" s="42" t="s">
        <v>826</v>
      </c>
      <c r="G319" s="42">
        <v>200</v>
      </c>
    </row>
    <row r="320" s="21" customFormat="1" customHeight="1" spans="1:7">
      <c r="A320" s="61"/>
      <c r="B320" s="61">
        <v>2161</v>
      </c>
      <c r="C320" s="87" t="s">
        <v>844</v>
      </c>
      <c r="D320" s="46" t="s">
        <v>844</v>
      </c>
      <c r="E320" s="46" t="s">
        <v>825</v>
      </c>
      <c r="F320" s="42" t="s">
        <v>826</v>
      </c>
      <c r="G320" s="42">
        <v>550</v>
      </c>
    </row>
    <row r="321" s="21" customFormat="1" customHeight="1" spans="1:7">
      <c r="A321" s="61"/>
      <c r="B321" s="61">
        <v>2161</v>
      </c>
      <c r="C321" s="15"/>
      <c r="D321" s="46" t="s">
        <v>845</v>
      </c>
      <c r="E321" s="46" t="s">
        <v>846</v>
      </c>
      <c r="F321" s="42" t="s">
        <v>23</v>
      </c>
      <c r="G321" s="42">
        <v>35</v>
      </c>
    </row>
    <row r="322" s="21" customFormat="1" customHeight="1" spans="1:7">
      <c r="A322" s="61"/>
      <c r="B322" s="61">
        <v>2161</v>
      </c>
      <c r="C322" s="15"/>
      <c r="D322" s="46" t="s">
        <v>1204</v>
      </c>
      <c r="E322" s="46" t="s">
        <v>1205</v>
      </c>
      <c r="F322" s="42" t="s">
        <v>23</v>
      </c>
      <c r="G322" s="42">
        <v>15</v>
      </c>
    </row>
    <row r="323" s="21" customFormat="1" customHeight="1" spans="1:7">
      <c r="A323" s="61"/>
      <c r="B323" s="61">
        <v>2161</v>
      </c>
      <c r="C323" s="15"/>
      <c r="D323" s="46" t="s">
        <v>835</v>
      </c>
      <c r="E323" s="46" t="s">
        <v>836</v>
      </c>
      <c r="F323" s="42" t="s">
        <v>26</v>
      </c>
      <c r="G323" s="42">
        <v>10</v>
      </c>
    </row>
    <row r="324" s="21" customFormat="1" customHeight="1" spans="1:7">
      <c r="A324" s="61"/>
      <c r="B324" s="61">
        <v>2161</v>
      </c>
      <c r="C324" s="15"/>
      <c r="D324" s="46" t="s">
        <v>1206</v>
      </c>
      <c r="E324" s="46" t="s">
        <v>1207</v>
      </c>
      <c r="F324" s="42" t="s">
        <v>23</v>
      </c>
      <c r="G324" s="42">
        <v>2</v>
      </c>
    </row>
    <row r="325" s="21" customFormat="1" customHeight="1" spans="1:7">
      <c r="A325" s="61"/>
      <c r="B325" s="61">
        <v>2161</v>
      </c>
      <c r="C325" s="15"/>
      <c r="D325" s="46" t="s">
        <v>1208</v>
      </c>
      <c r="E325" s="46" t="s">
        <v>1209</v>
      </c>
      <c r="F325" s="42" t="s">
        <v>23</v>
      </c>
      <c r="G325" s="42">
        <v>10</v>
      </c>
    </row>
    <row r="326" s="21" customFormat="1" customHeight="1" spans="1:7">
      <c r="A326" s="61"/>
      <c r="B326" s="61">
        <v>2161</v>
      </c>
      <c r="C326" s="87" t="s">
        <v>865</v>
      </c>
      <c r="D326" s="46" t="s">
        <v>866</v>
      </c>
      <c r="E326" s="46" t="s">
        <v>867</v>
      </c>
      <c r="F326" s="42" t="s">
        <v>868</v>
      </c>
      <c r="G326" s="42">
        <v>3</v>
      </c>
    </row>
    <row r="327" s="21" customFormat="1" customHeight="1" spans="1:7">
      <c r="A327" s="61"/>
      <c r="B327" s="61">
        <v>2161</v>
      </c>
      <c r="C327" s="87" t="s">
        <v>839</v>
      </c>
      <c r="D327" s="46" t="s">
        <v>840</v>
      </c>
      <c r="E327" s="46"/>
      <c r="F327" s="42" t="s">
        <v>841</v>
      </c>
      <c r="G327" s="42">
        <v>800</v>
      </c>
    </row>
    <row r="328" s="21" customFormat="1" customHeight="1" spans="1:7">
      <c r="A328" s="61"/>
      <c r="B328" s="61">
        <v>2161</v>
      </c>
      <c r="C328" s="87" t="s">
        <v>842</v>
      </c>
      <c r="D328" s="46" t="s">
        <v>842</v>
      </c>
      <c r="E328" s="46"/>
      <c r="F328" s="42" t="s">
        <v>843</v>
      </c>
      <c r="G328" s="42">
        <v>7200</v>
      </c>
    </row>
    <row r="329" s="21" customFormat="1" customHeight="1" spans="1:7">
      <c r="A329" s="61"/>
      <c r="B329" s="61"/>
      <c r="C329" s="15"/>
      <c r="D329" s="46"/>
      <c r="E329" s="46"/>
      <c r="F329" s="42"/>
      <c r="G329" s="42"/>
    </row>
    <row r="330" s="21" customFormat="1" customHeight="1" spans="1:7">
      <c r="A330" s="64"/>
      <c r="B330" s="64"/>
      <c r="C330" s="36"/>
      <c r="D330" s="13" t="s">
        <v>34</v>
      </c>
      <c r="E330" s="37"/>
      <c r="F330" s="58"/>
      <c r="G330" s="58"/>
    </row>
    <row r="331" s="21" customFormat="1" customHeight="1" spans="1:7">
      <c r="A331" s="64"/>
      <c r="B331" s="64"/>
      <c r="C331" s="36"/>
      <c r="D331" s="13" t="s">
        <v>661</v>
      </c>
      <c r="E331" s="37"/>
      <c r="F331" s="58"/>
      <c r="G331" s="58"/>
    </row>
    <row r="334" customHeight="1" spans="1:7">
      <c r="F334" s="60" t="s">
        <v>844</v>
      </c>
      <c r="G334" s="60" t="s">
        <v>1210</v>
      </c>
    </row>
    <row r="335" customHeight="1" spans="1:7">
      <c r="F335" s="60" t="s">
        <v>824</v>
      </c>
      <c r="G335" s="60" t="s">
        <v>1210</v>
      </c>
    </row>
    <row r="336" customHeight="1" spans="1:7">
      <c r="F336" s="60" t="s">
        <v>681</v>
      </c>
      <c r="G336" s="60" t="s">
        <v>1210</v>
      </c>
    </row>
    <row r="337" customHeight="1" spans="5:7">
      <c r="F337" s="60" t="s">
        <v>865</v>
      </c>
      <c r="G337" s="60" t="s">
        <v>1210</v>
      </c>
    </row>
    <row r="338" customHeight="1" spans="5:7">
      <c r="E338" s="2">
        <v>2102</v>
      </c>
      <c r="F338" s="60" t="s">
        <v>844</v>
      </c>
      <c r="G338" s="60" t="s">
        <v>1210</v>
      </c>
    </row>
    <row r="339" customHeight="1" spans="5:7">
      <c r="E339" s="2">
        <v>2102</v>
      </c>
      <c r="F339" s="60" t="s">
        <v>824</v>
      </c>
      <c r="G339" s="60" t="s">
        <v>1210</v>
      </c>
    </row>
    <row r="340" customHeight="1" spans="5:7">
      <c r="E340" s="2">
        <v>2102</v>
      </c>
      <c r="F340" s="60" t="s">
        <v>681</v>
      </c>
      <c r="G340" s="60" t="s">
        <v>1210</v>
      </c>
    </row>
    <row r="341" customHeight="1" spans="5:7">
      <c r="E341" s="2">
        <v>2102</v>
      </c>
      <c r="F341" s="60" t="s">
        <v>865</v>
      </c>
      <c r="G341" s="60" t="s">
        <v>1210</v>
      </c>
    </row>
    <row r="342" customHeight="1" spans="5:7">
      <c r="E342" s="2">
        <v>2150</v>
      </c>
      <c r="F342" s="60" t="s">
        <v>844</v>
      </c>
      <c r="G342" s="60" t="s">
        <v>1210</v>
      </c>
    </row>
    <row r="343" customHeight="1" spans="5:7">
      <c r="E343" s="2">
        <v>2150</v>
      </c>
      <c r="F343" s="60" t="s">
        <v>824</v>
      </c>
      <c r="G343" s="60" t="s">
        <v>1210</v>
      </c>
    </row>
    <row r="344" customHeight="1" spans="5:7">
      <c r="E344" s="2">
        <v>2150</v>
      </c>
      <c r="F344" s="60" t="s">
        <v>681</v>
      </c>
      <c r="G344" s="60" t="s">
        <v>1210</v>
      </c>
    </row>
    <row r="345" customHeight="1" spans="5:7">
      <c r="E345" s="2">
        <v>2150</v>
      </c>
      <c r="F345" s="60" t="s">
        <v>865</v>
      </c>
      <c r="G345" s="60" t="s">
        <v>1210</v>
      </c>
    </row>
    <row r="346" customHeight="1" spans="5:7">
      <c r="E346" s="2">
        <v>2153</v>
      </c>
      <c r="F346" s="60" t="s">
        <v>844</v>
      </c>
      <c r="G346" s="60" t="s">
        <v>1210</v>
      </c>
    </row>
    <row r="347" customHeight="1" spans="5:7">
      <c r="E347" s="2">
        <v>2153</v>
      </c>
      <c r="F347" s="60" t="s">
        <v>824</v>
      </c>
      <c r="G347" s="60" t="s">
        <v>1210</v>
      </c>
    </row>
    <row r="348" customHeight="1" spans="5:7">
      <c r="E348" s="2">
        <v>2153</v>
      </c>
      <c r="F348" s="60" t="s">
        <v>681</v>
      </c>
      <c r="G348" s="60" t="s">
        <v>1210</v>
      </c>
    </row>
    <row r="349" customHeight="1" spans="5:7">
      <c r="E349" s="2">
        <v>2153</v>
      </c>
      <c r="F349" s="60" t="s">
        <v>865</v>
      </c>
      <c r="G349" s="60" t="s">
        <v>1210</v>
      </c>
    </row>
    <row r="350" customHeight="1" spans="5:7">
      <c r="E350" s="2">
        <v>2161</v>
      </c>
      <c r="F350" s="60" t="s">
        <v>844</v>
      </c>
      <c r="G350" s="60" t="s">
        <v>1210</v>
      </c>
    </row>
    <row r="351" customHeight="1" spans="5:7">
      <c r="E351" s="2">
        <v>2161</v>
      </c>
      <c r="F351" s="60" t="s">
        <v>824</v>
      </c>
      <c r="G351" s="60" t="s">
        <v>1210</v>
      </c>
    </row>
    <row r="352" customHeight="1" spans="5:7">
      <c r="E352" s="2">
        <v>2161</v>
      </c>
      <c r="F352" s="60" t="s">
        <v>681</v>
      </c>
      <c r="G352" s="60" t="s">
        <v>1210</v>
      </c>
    </row>
    <row r="353" customHeight="1" spans="5:7">
      <c r="E353" s="2">
        <v>2161</v>
      </c>
      <c r="F353" s="60" t="s">
        <v>865</v>
      </c>
      <c r="G353" s="60" t="s">
        <v>1210</v>
      </c>
    </row>
  </sheetData>
  <autoFilter xmlns:etc="http://www.wps.cn/officeDocument/2017/etCustomData" ref="A1:G332" etc:filterBottomFollowUsedRange="0">
    <extLst/>
  </autoFilter>
  <mergeCells count="7"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outlinePr summaryBelow="0"/>
  </sheetPr>
  <dimension ref="A1:G207"/>
  <sheetViews>
    <sheetView tabSelected="1" workbookViewId="0">
      <pane xSplit="4" ySplit="3" topLeftCell="E88" activePane="bottomRight" state="frozen"/>
      <selection/>
      <selection pane="topRight"/>
      <selection pane="bottomLeft"/>
      <selection pane="bottomRight" activeCell="A1" sqref="$A1:$XFD1"/>
    </sheetView>
  </sheetViews>
  <sheetFormatPr defaultColWidth="8.8" defaultRowHeight="22" customHeight="1" outlineLevelCol="6"/>
  <cols>
    <col min="1" max="1" width="8.8" style="2"/>
    <col min="2" max="2" width="10.4" style="2" customWidth="1"/>
    <col min="3" max="3" width="10.2" style="2" customWidth="1"/>
    <col min="4" max="4" width="22.6" style="2" customWidth="1"/>
    <col min="5" max="5" width="44.2" style="2" customWidth="1"/>
    <col min="6" max="6" width="13" style="2" customWidth="1"/>
    <col min="7" max="7" width="9.6" style="2" customWidth="1"/>
    <col min="8" max="16384" width="8.8" style="2"/>
  </cols>
  <sheetData>
    <row r="1" customHeight="1" spans="1:7">
      <c r="A1" s="15" t="s">
        <v>0</v>
      </c>
      <c r="B1" s="15"/>
      <c r="C1" s="15"/>
      <c r="D1" s="15" t="s">
        <v>3</v>
      </c>
      <c r="E1" s="15" t="s">
        <v>4</v>
      </c>
      <c r="F1" s="15" t="s">
        <v>5</v>
      </c>
      <c r="G1" s="15" t="s">
        <v>6</v>
      </c>
    </row>
    <row r="2" customHeight="1" spans="1:7">
      <c r="A2" s="15"/>
      <c r="B2" s="15"/>
      <c r="C2" s="15"/>
      <c r="D2" s="15"/>
      <c r="E2" s="15"/>
      <c r="F2" s="15"/>
      <c r="G2" s="15"/>
    </row>
    <row r="3" s="21" customFormat="1" ht="21.5" customHeight="1" spans="1:7">
      <c r="A3" s="15" t="s">
        <v>7</v>
      </c>
      <c r="B3" s="15"/>
      <c r="C3" s="15"/>
      <c r="D3" s="51" t="s">
        <v>1211</v>
      </c>
      <c r="E3" s="46"/>
      <c r="F3" s="42"/>
      <c r="G3" s="42"/>
    </row>
    <row r="4" s="21" customFormat="1" ht="21.5" customHeight="1" spans="1:7">
      <c r="A4" s="15">
        <v>1</v>
      </c>
      <c r="B4" s="15"/>
      <c r="C4" s="15"/>
      <c r="D4" s="52" t="s">
        <v>1212</v>
      </c>
      <c r="E4" s="46"/>
      <c r="F4" s="42"/>
      <c r="G4" s="42"/>
    </row>
    <row r="5" s="21" customFormat="1" ht="21.5" customHeight="1" spans="1:7">
      <c r="A5" s="15">
        <v>1.1</v>
      </c>
      <c r="B5" s="57" t="s">
        <v>1213</v>
      </c>
      <c r="C5" s="15"/>
      <c r="D5" s="52" t="s">
        <v>1214</v>
      </c>
      <c r="E5" s="46" t="s">
        <v>1215</v>
      </c>
      <c r="F5" s="42" t="s">
        <v>23</v>
      </c>
      <c r="G5" s="42">
        <v>1</v>
      </c>
    </row>
    <row r="6" s="21" customFormat="1" ht="38.25" customHeight="1" spans="1:7">
      <c r="A6" s="15">
        <v>1.2</v>
      </c>
      <c r="B6" s="57" t="s">
        <v>1213</v>
      </c>
      <c r="C6" s="15"/>
      <c r="D6" s="52" t="s">
        <v>1216</v>
      </c>
      <c r="E6" s="46" t="s">
        <v>1217</v>
      </c>
      <c r="F6" s="42" t="s">
        <v>23</v>
      </c>
      <c r="G6" s="42">
        <v>1</v>
      </c>
    </row>
    <row r="7" s="21" customFormat="1" ht="21.5" customHeight="1" spans="1:7">
      <c r="A7" s="15"/>
      <c r="B7" s="57"/>
      <c r="C7" s="15"/>
      <c r="D7" s="52"/>
      <c r="E7" s="46"/>
      <c r="F7" s="42" t="s">
        <v>23</v>
      </c>
      <c r="G7" s="42">
        <v>1</v>
      </c>
    </row>
    <row r="8" s="21" customFormat="1" ht="21.5" customHeight="1" spans="1:7">
      <c r="A8" s="15">
        <v>1.3</v>
      </c>
      <c r="B8" s="57" t="s">
        <v>1213</v>
      </c>
      <c r="C8" s="15"/>
      <c r="D8" s="52" t="s">
        <v>1218</v>
      </c>
      <c r="E8" s="46" t="s">
        <v>1219</v>
      </c>
      <c r="F8" s="42" t="s">
        <v>23</v>
      </c>
      <c r="G8" s="42">
        <v>1</v>
      </c>
    </row>
    <row r="9" s="21" customFormat="1" ht="21.5" customHeight="1" spans="1:7">
      <c r="A9" s="15">
        <v>1.4</v>
      </c>
      <c r="B9" s="57" t="s">
        <v>1213</v>
      </c>
      <c r="C9" s="15"/>
      <c r="D9" s="52" t="s">
        <v>1220</v>
      </c>
      <c r="E9" s="46" t="s">
        <v>1221</v>
      </c>
      <c r="F9" s="42" t="s">
        <v>23</v>
      </c>
      <c r="G9" s="42">
        <v>18</v>
      </c>
    </row>
    <row r="10" s="21" customFormat="1" ht="21.5" customHeight="1" spans="1:7">
      <c r="A10" s="15">
        <v>1.5</v>
      </c>
      <c r="B10" s="57" t="s">
        <v>1213</v>
      </c>
      <c r="C10" s="15"/>
      <c r="D10" s="52" t="s">
        <v>1222</v>
      </c>
      <c r="E10" s="46" t="s">
        <v>1223</v>
      </c>
      <c r="F10" s="42" t="s">
        <v>23</v>
      </c>
      <c r="G10" s="42">
        <v>18</v>
      </c>
    </row>
    <row r="11" s="21" customFormat="1" ht="21.5" customHeight="1" spans="1:7">
      <c r="A11" s="15">
        <v>1.6</v>
      </c>
      <c r="B11" s="57" t="s">
        <v>1213</v>
      </c>
      <c r="C11" s="15"/>
      <c r="D11" s="52" t="s">
        <v>1224</v>
      </c>
      <c r="E11" s="46" t="s">
        <v>1225</v>
      </c>
      <c r="F11" s="42" t="s">
        <v>23</v>
      </c>
      <c r="G11" s="42">
        <v>18</v>
      </c>
    </row>
    <row r="12" s="21" customFormat="1" ht="21.5" customHeight="1" spans="1:7">
      <c r="A12" s="15">
        <v>1.7</v>
      </c>
      <c r="B12" s="57" t="s">
        <v>1213</v>
      </c>
      <c r="C12" s="15"/>
      <c r="D12" s="52" t="s">
        <v>1226</v>
      </c>
      <c r="E12" s="46" t="s">
        <v>1227</v>
      </c>
      <c r="F12" s="42" t="s">
        <v>26</v>
      </c>
      <c r="G12" s="42">
        <v>18</v>
      </c>
    </row>
    <row r="13" s="21" customFormat="1" ht="21.5" customHeight="1" spans="1:7">
      <c r="A13" s="15">
        <v>1.8</v>
      </c>
      <c r="B13" s="57" t="s">
        <v>1213</v>
      </c>
      <c r="C13" s="15"/>
      <c r="D13" s="52" t="s">
        <v>1228</v>
      </c>
      <c r="E13" s="46" t="s">
        <v>1229</v>
      </c>
      <c r="F13" s="42" t="s">
        <v>26</v>
      </c>
      <c r="G13" s="42">
        <v>18</v>
      </c>
    </row>
    <row r="14" s="21" customFormat="1" ht="21.5" customHeight="1" spans="1:7">
      <c r="A14" s="15">
        <v>1.9</v>
      </c>
      <c r="B14" s="57" t="s">
        <v>1213</v>
      </c>
      <c r="C14" s="15"/>
      <c r="D14" s="52" t="s">
        <v>1230</v>
      </c>
      <c r="E14" s="46" t="s">
        <v>1231</v>
      </c>
      <c r="F14" s="42" t="s">
        <v>26</v>
      </c>
      <c r="G14" s="42">
        <v>18</v>
      </c>
    </row>
    <row r="15" s="21" customFormat="1" ht="21.5" customHeight="1" spans="1:7">
      <c r="A15" s="15" t="s">
        <v>1232</v>
      </c>
      <c r="B15" s="57" t="s">
        <v>1213</v>
      </c>
      <c r="C15" s="15"/>
      <c r="D15" s="52" t="s">
        <v>1233</v>
      </c>
      <c r="E15" s="46" t="s">
        <v>1234</v>
      </c>
      <c r="F15" s="42" t="s">
        <v>26</v>
      </c>
      <c r="G15" s="42">
        <v>3</v>
      </c>
    </row>
    <row r="16" s="21" customFormat="1" ht="21.5" customHeight="1" spans="1:7">
      <c r="A16" s="15">
        <v>1.11</v>
      </c>
      <c r="B16" s="57" t="s">
        <v>1213</v>
      </c>
      <c r="C16" s="15"/>
      <c r="D16" s="52" t="s">
        <v>1235</v>
      </c>
      <c r="E16" s="46" t="s">
        <v>1236</v>
      </c>
      <c r="F16" s="42" t="s">
        <v>26</v>
      </c>
      <c r="G16" s="42">
        <v>12</v>
      </c>
    </row>
    <row r="17" s="21" customFormat="1" ht="21.5" customHeight="1" spans="1:7">
      <c r="A17" s="15">
        <v>1.12</v>
      </c>
      <c r="B17" s="57" t="s">
        <v>1213</v>
      </c>
      <c r="C17" s="15"/>
      <c r="D17" s="52" t="s">
        <v>1237</v>
      </c>
      <c r="E17" s="46" t="s">
        <v>1238</v>
      </c>
      <c r="F17" s="42" t="s">
        <v>23</v>
      </c>
      <c r="G17" s="42">
        <v>1</v>
      </c>
    </row>
    <row r="18" s="21" customFormat="1" ht="21.5" customHeight="1" spans="1:7">
      <c r="A18" s="15">
        <v>1.13</v>
      </c>
      <c r="B18" s="57" t="s">
        <v>1213</v>
      </c>
      <c r="C18" s="15"/>
      <c r="D18" s="52" t="s">
        <v>1239</v>
      </c>
      <c r="E18" s="46" t="s">
        <v>1240</v>
      </c>
      <c r="F18" s="42" t="s">
        <v>23</v>
      </c>
      <c r="G18" s="42">
        <v>2</v>
      </c>
    </row>
    <row r="19" s="21" customFormat="1" ht="21.5" customHeight="1" spans="1:7">
      <c r="A19" s="15">
        <v>1.14</v>
      </c>
      <c r="B19" s="57" t="s">
        <v>1213</v>
      </c>
      <c r="C19" s="15"/>
      <c r="D19" s="52" t="s">
        <v>1241</v>
      </c>
      <c r="E19" s="46" t="s">
        <v>1240</v>
      </c>
      <c r="F19" s="42" t="s">
        <v>23</v>
      </c>
      <c r="G19" s="42">
        <v>2</v>
      </c>
    </row>
    <row r="20" s="21" customFormat="1" ht="21.5" customHeight="1" spans="1:7">
      <c r="A20" s="15">
        <v>1.15</v>
      </c>
      <c r="B20" s="57" t="s">
        <v>1213</v>
      </c>
      <c r="C20" s="15"/>
      <c r="D20" s="52" t="s">
        <v>1242</v>
      </c>
      <c r="E20" s="10" t="s">
        <v>1243</v>
      </c>
      <c r="F20" s="42" t="s">
        <v>23</v>
      </c>
      <c r="G20" s="42">
        <v>1</v>
      </c>
    </row>
    <row r="21" s="21" customFormat="1" ht="21.5" customHeight="1" spans="1:7">
      <c r="A21" s="15">
        <v>1.16</v>
      </c>
      <c r="B21" s="57" t="s">
        <v>1213</v>
      </c>
      <c r="C21" s="15"/>
      <c r="D21" s="52" t="s">
        <v>1244</v>
      </c>
      <c r="E21" s="10" t="s">
        <v>1245</v>
      </c>
      <c r="F21" s="42" t="s">
        <v>23</v>
      </c>
      <c r="G21" s="42">
        <v>1</v>
      </c>
    </row>
    <row r="22" s="21" customFormat="1" ht="21.5" customHeight="1" spans="1:7">
      <c r="A22" s="15">
        <v>1.17</v>
      </c>
      <c r="B22" s="57" t="s">
        <v>1213</v>
      </c>
      <c r="C22" s="15"/>
      <c r="D22" s="52" t="s">
        <v>1246</v>
      </c>
      <c r="E22" s="10" t="s">
        <v>1247</v>
      </c>
      <c r="F22" s="42" t="s">
        <v>23</v>
      </c>
      <c r="G22" s="42">
        <v>1</v>
      </c>
    </row>
    <row r="23" s="21" customFormat="1" ht="21.5" customHeight="1" spans="1:7">
      <c r="A23" s="15">
        <v>1.18</v>
      </c>
      <c r="B23" s="57" t="s">
        <v>1213</v>
      </c>
      <c r="C23" s="15"/>
      <c r="D23" s="52" t="s">
        <v>1248</v>
      </c>
      <c r="E23" s="10" t="s">
        <v>1238</v>
      </c>
      <c r="F23" s="42" t="s">
        <v>23</v>
      </c>
      <c r="G23" s="42">
        <v>1</v>
      </c>
    </row>
    <row r="24" s="21" customFormat="1" ht="21.5" customHeight="1" spans="1:7">
      <c r="A24" s="15">
        <v>2</v>
      </c>
      <c r="B24" s="57" t="s">
        <v>1213</v>
      </c>
      <c r="C24" s="15"/>
      <c r="D24" s="52" t="s">
        <v>1249</v>
      </c>
      <c r="E24" s="10"/>
      <c r="F24" s="42"/>
      <c r="G24" s="42"/>
    </row>
    <row r="25" s="21" customFormat="1" ht="57" customHeight="1" spans="1:7">
      <c r="A25" s="15">
        <v>2.1</v>
      </c>
      <c r="B25" s="57" t="s">
        <v>1213</v>
      </c>
      <c r="C25" s="15"/>
      <c r="D25" s="52" t="s">
        <v>1250</v>
      </c>
      <c r="E25" s="10" t="s">
        <v>1251</v>
      </c>
      <c r="F25" s="42" t="s">
        <v>23</v>
      </c>
      <c r="G25" s="42">
        <v>1</v>
      </c>
    </row>
    <row r="26" s="21" customFormat="1" ht="21.5" customHeight="1" spans="1:7">
      <c r="A26" s="15">
        <v>2.2</v>
      </c>
      <c r="B26" s="57" t="s">
        <v>1213</v>
      </c>
      <c r="C26" s="15"/>
      <c r="D26" s="52" t="s">
        <v>1252</v>
      </c>
      <c r="E26" s="10" t="s">
        <v>1253</v>
      </c>
      <c r="F26" s="42" t="s">
        <v>23</v>
      </c>
      <c r="G26" s="42">
        <v>4</v>
      </c>
    </row>
    <row r="27" s="21" customFormat="1" ht="21.5" customHeight="1" spans="1:7">
      <c r="A27" s="15">
        <v>2.3</v>
      </c>
      <c r="B27" s="57" t="s">
        <v>1213</v>
      </c>
      <c r="C27" s="15"/>
      <c r="D27" s="52" t="s">
        <v>1254</v>
      </c>
      <c r="E27" s="10" t="s">
        <v>1255</v>
      </c>
      <c r="F27" s="42" t="s">
        <v>23</v>
      </c>
      <c r="G27" s="42">
        <v>8</v>
      </c>
    </row>
    <row r="28" s="21" customFormat="1" ht="21.5" customHeight="1" spans="1:7">
      <c r="A28" s="15">
        <v>2.4</v>
      </c>
      <c r="B28" s="57" t="s">
        <v>1213</v>
      </c>
      <c r="C28" s="15"/>
      <c r="D28" s="52" t="s">
        <v>1239</v>
      </c>
      <c r="E28" s="10" t="s">
        <v>1240</v>
      </c>
      <c r="F28" s="42" t="s">
        <v>23</v>
      </c>
      <c r="G28" s="42">
        <v>2</v>
      </c>
    </row>
    <row r="29" s="21" customFormat="1" ht="21.5" customHeight="1" spans="1:7">
      <c r="A29" s="15">
        <v>2.5</v>
      </c>
      <c r="B29" s="57" t="s">
        <v>1213</v>
      </c>
      <c r="C29" s="15"/>
      <c r="D29" s="52" t="s">
        <v>1241</v>
      </c>
      <c r="E29" s="10" t="s">
        <v>1240</v>
      </c>
      <c r="F29" s="42" t="s">
        <v>23</v>
      </c>
      <c r="G29" s="42">
        <v>2</v>
      </c>
    </row>
    <row r="30" s="21" customFormat="1" ht="21.5" customHeight="1" spans="1:7">
      <c r="A30" s="15">
        <v>2.6</v>
      </c>
      <c r="B30" s="57" t="s">
        <v>1213</v>
      </c>
      <c r="C30" s="15"/>
      <c r="D30" s="52" t="s">
        <v>1256</v>
      </c>
      <c r="E30" s="10" t="s">
        <v>1257</v>
      </c>
      <c r="F30" s="42" t="s">
        <v>23</v>
      </c>
      <c r="G30" s="42">
        <v>1</v>
      </c>
    </row>
    <row r="31" s="21" customFormat="1" ht="21.5" customHeight="1" spans="1:7">
      <c r="A31" s="15">
        <v>2.7</v>
      </c>
      <c r="B31" s="57" t="s">
        <v>1213</v>
      </c>
      <c r="C31" s="15"/>
      <c r="D31" s="52" t="s">
        <v>1244</v>
      </c>
      <c r="E31" s="10" t="s">
        <v>1258</v>
      </c>
      <c r="F31" s="42" t="s">
        <v>23</v>
      </c>
      <c r="G31" s="42">
        <v>1</v>
      </c>
    </row>
    <row r="32" s="21" customFormat="1" ht="21.5" customHeight="1" spans="1:7">
      <c r="A32" s="15">
        <v>2.8</v>
      </c>
      <c r="B32" s="57" t="s">
        <v>1213</v>
      </c>
      <c r="C32" s="15"/>
      <c r="D32" s="52" t="s">
        <v>1259</v>
      </c>
      <c r="E32" s="10" t="s">
        <v>1260</v>
      </c>
      <c r="F32" s="42" t="s">
        <v>23</v>
      </c>
      <c r="G32" s="42">
        <v>1</v>
      </c>
    </row>
    <row r="33" s="21" customFormat="1" ht="21.5" customHeight="1" spans="1:7">
      <c r="A33" s="15">
        <v>2.9</v>
      </c>
      <c r="B33" s="57" t="s">
        <v>1213</v>
      </c>
      <c r="C33" s="15"/>
      <c r="D33" s="52" t="s">
        <v>1261</v>
      </c>
      <c r="E33" s="10" t="s">
        <v>1262</v>
      </c>
      <c r="F33" s="42" t="s">
        <v>23</v>
      </c>
      <c r="G33" s="42">
        <v>1</v>
      </c>
    </row>
    <row r="34" s="21" customFormat="1" ht="21.5" customHeight="1" spans="1:7">
      <c r="A34" s="15" t="s">
        <v>1263</v>
      </c>
      <c r="B34" s="57" t="s">
        <v>1213</v>
      </c>
      <c r="C34" s="15"/>
      <c r="D34" s="52" t="s">
        <v>1264</v>
      </c>
      <c r="E34" s="10" t="s">
        <v>1265</v>
      </c>
      <c r="F34" s="42" t="s">
        <v>23</v>
      </c>
      <c r="G34" s="42">
        <v>1</v>
      </c>
    </row>
    <row r="35" s="21" customFormat="1" ht="21.5" customHeight="1" spans="1:7">
      <c r="A35" s="15">
        <v>3</v>
      </c>
      <c r="B35" s="57" t="s">
        <v>1213</v>
      </c>
      <c r="C35" s="15"/>
      <c r="D35" s="52" t="s">
        <v>1266</v>
      </c>
      <c r="E35" s="10"/>
      <c r="F35" s="42"/>
      <c r="G35" s="42"/>
    </row>
    <row r="36" s="21" customFormat="1" ht="21.5" customHeight="1" spans="1:7">
      <c r="A36" s="15">
        <v>3.1</v>
      </c>
      <c r="B36" s="57" t="s">
        <v>1213</v>
      </c>
      <c r="C36" s="15"/>
      <c r="D36" s="52" t="s">
        <v>1267</v>
      </c>
      <c r="E36" s="10" t="s">
        <v>1268</v>
      </c>
      <c r="F36" s="42" t="s">
        <v>23</v>
      </c>
      <c r="G36" s="42">
        <v>2</v>
      </c>
    </row>
    <row r="37" s="21" customFormat="1" ht="21.5" customHeight="1" spans="1:7">
      <c r="A37" s="15">
        <v>3.2</v>
      </c>
      <c r="B37" s="57" t="s">
        <v>1213</v>
      </c>
      <c r="C37" s="15"/>
      <c r="D37" s="52" t="s">
        <v>1269</v>
      </c>
      <c r="E37" s="10" t="s">
        <v>1270</v>
      </c>
      <c r="F37" s="42" t="s">
        <v>23</v>
      </c>
      <c r="G37" s="42">
        <v>2</v>
      </c>
    </row>
    <row r="38" s="21" customFormat="1" ht="21.5" customHeight="1" spans="1:7">
      <c r="A38" s="15">
        <v>3.3</v>
      </c>
      <c r="B38" s="57" t="s">
        <v>1213</v>
      </c>
      <c r="C38" s="15"/>
      <c r="D38" s="52" t="s">
        <v>1271</v>
      </c>
      <c r="E38" s="10" t="s">
        <v>1272</v>
      </c>
      <c r="F38" s="42" t="s">
        <v>23</v>
      </c>
      <c r="G38" s="42">
        <v>1</v>
      </c>
    </row>
    <row r="39" s="21" customFormat="1" ht="21.5" customHeight="1" spans="1:7">
      <c r="A39" s="15">
        <v>3.4</v>
      </c>
      <c r="B39" s="57" t="s">
        <v>1213</v>
      </c>
      <c r="C39" s="15"/>
      <c r="D39" s="52" t="s">
        <v>1264</v>
      </c>
      <c r="E39" s="10" t="s">
        <v>1265</v>
      </c>
      <c r="F39" s="42" t="s">
        <v>23</v>
      </c>
      <c r="G39" s="42">
        <v>2</v>
      </c>
    </row>
    <row r="40" s="21" customFormat="1" ht="21.5" customHeight="1" spans="1:7">
      <c r="A40" s="15">
        <v>3.5</v>
      </c>
      <c r="B40" s="57" t="s">
        <v>1213</v>
      </c>
      <c r="C40" s="15"/>
      <c r="D40" s="52" t="s">
        <v>1273</v>
      </c>
      <c r="E40" s="10" t="s">
        <v>1274</v>
      </c>
      <c r="F40" s="42" t="s">
        <v>23</v>
      </c>
      <c r="G40" s="42">
        <v>4</v>
      </c>
    </row>
    <row r="41" s="21" customFormat="1" ht="21.5" customHeight="1" spans="1:7">
      <c r="A41" s="15"/>
      <c r="B41" s="57"/>
      <c r="C41" s="15"/>
      <c r="D41" s="52" t="s">
        <v>1264</v>
      </c>
      <c r="E41" s="10" t="s">
        <v>1275</v>
      </c>
      <c r="F41" s="42" t="s">
        <v>23</v>
      </c>
      <c r="G41" s="42">
        <v>2</v>
      </c>
    </row>
    <row r="42" s="21" customFormat="1" ht="21.5" customHeight="1" spans="1:7">
      <c r="A42" s="15">
        <v>4</v>
      </c>
      <c r="B42" s="57"/>
      <c r="C42" s="15"/>
      <c r="D42" s="52" t="s">
        <v>1276</v>
      </c>
      <c r="E42" s="10"/>
      <c r="F42" s="42"/>
      <c r="G42" s="42"/>
    </row>
    <row r="43" s="21" customFormat="1" ht="21.5" customHeight="1" spans="1:7">
      <c r="A43" s="15">
        <v>4.1</v>
      </c>
      <c r="B43" s="57" t="s">
        <v>1213</v>
      </c>
      <c r="C43" s="15"/>
      <c r="D43" s="52" t="s">
        <v>1277</v>
      </c>
      <c r="E43" s="10" t="s">
        <v>1278</v>
      </c>
      <c r="F43" s="42" t="s">
        <v>23</v>
      </c>
      <c r="G43" s="42">
        <v>1</v>
      </c>
    </row>
    <row r="44" s="21" customFormat="1" ht="21.5" customHeight="1" spans="1:7">
      <c r="A44" s="15">
        <v>4.2</v>
      </c>
      <c r="B44" s="57" t="s">
        <v>1213</v>
      </c>
      <c r="C44" s="15"/>
      <c r="D44" s="52" t="s">
        <v>1279</v>
      </c>
      <c r="E44" s="10" t="s">
        <v>1278</v>
      </c>
      <c r="F44" s="42" t="s">
        <v>23</v>
      </c>
      <c r="G44" s="42">
        <v>1</v>
      </c>
    </row>
    <row r="45" s="21" customFormat="1" ht="21.5" customHeight="1" spans="1:7">
      <c r="A45" s="15">
        <v>4.3</v>
      </c>
      <c r="B45" s="57" t="s">
        <v>1213</v>
      </c>
      <c r="C45" s="15"/>
      <c r="D45" s="52" t="s">
        <v>1264</v>
      </c>
      <c r="E45" s="10" t="s">
        <v>1265</v>
      </c>
      <c r="F45" s="42" t="s">
        <v>23</v>
      </c>
      <c r="G45" s="42">
        <v>1</v>
      </c>
    </row>
    <row r="46" s="21" customFormat="1" ht="21.5" customHeight="1" spans="1:7">
      <c r="A46" s="15">
        <v>4.4</v>
      </c>
      <c r="B46" s="57" t="s">
        <v>1213</v>
      </c>
      <c r="C46" s="15"/>
      <c r="D46" s="52" t="s">
        <v>1280</v>
      </c>
      <c r="E46" s="10" t="s">
        <v>1281</v>
      </c>
      <c r="F46" s="42" t="s">
        <v>23</v>
      </c>
      <c r="G46" s="42">
        <v>1</v>
      </c>
    </row>
    <row r="47" s="21" customFormat="1" ht="21.5" customHeight="1" spans="1:7">
      <c r="A47" s="15">
        <v>4.5</v>
      </c>
      <c r="B47" s="57" t="s">
        <v>1213</v>
      </c>
      <c r="C47" s="15"/>
      <c r="D47" s="52" t="s">
        <v>1282</v>
      </c>
      <c r="E47" s="10" t="s">
        <v>702</v>
      </c>
      <c r="F47" s="42" t="s">
        <v>23</v>
      </c>
      <c r="G47" s="42">
        <v>1</v>
      </c>
    </row>
    <row r="48" s="21" customFormat="1" ht="21.5" customHeight="1" spans="1:7">
      <c r="A48" s="15">
        <v>4.6</v>
      </c>
      <c r="B48" s="57" t="s">
        <v>1213</v>
      </c>
      <c r="C48" s="15"/>
      <c r="D48" s="52" t="s">
        <v>1283</v>
      </c>
      <c r="E48" s="10" t="s">
        <v>1284</v>
      </c>
      <c r="F48" s="42" t="s">
        <v>23</v>
      </c>
      <c r="G48" s="42">
        <v>1</v>
      </c>
    </row>
    <row r="49" s="21" customFormat="1" ht="89.25" customHeight="1" spans="1:7">
      <c r="A49" s="15">
        <v>4.7</v>
      </c>
      <c r="B49" s="57" t="s">
        <v>1213</v>
      </c>
      <c r="C49" s="15"/>
      <c r="D49" s="52" t="s">
        <v>1285</v>
      </c>
      <c r="E49" s="10" t="s">
        <v>1286</v>
      </c>
      <c r="F49" s="42" t="s">
        <v>23</v>
      </c>
      <c r="G49" s="42">
        <v>1</v>
      </c>
    </row>
    <row r="50" s="21" customFormat="1" ht="21.5" customHeight="1" spans="1:7">
      <c r="A50" s="15">
        <v>4.8</v>
      </c>
      <c r="B50" s="57" t="s">
        <v>1213</v>
      </c>
      <c r="C50" s="15"/>
      <c r="D50" s="52" t="s">
        <v>1264</v>
      </c>
      <c r="E50" s="10" t="s">
        <v>1287</v>
      </c>
      <c r="F50" s="42" t="s">
        <v>23</v>
      </c>
      <c r="G50" s="42">
        <v>6</v>
      </c>
    </row>
    <row r="51" s="21" customFormat="1" ht="21.5" customHeight="1" spans="1:7">
      <c r="A51" s="15">
        <v>4.9</v>
      </c>
      <c r="B51" s="57" t="s">
        <v>1213</v>
      </c>
      <c r="C51" s="15"/>
      <c r="D51" s="52" t="s">
        <v>1273</v>
      </c>
      <c r="E51" s="10" t="s">
        <v>1288</v>
      </c>
      <c r="F51" s="42" t="s">
        <v>23</v>
      </c>
      <c r="G51" s="42">
        <v>6</v>
      </c>
    </row>
    <row r="52" s="21" customFormat="1" ht="21.5" customHeight="1" spans="1:7">
      <c r="A52" s="15" t="s">
        <v>1289</v>
      </c>
      <c r="B52" s="57" t="s">
        <v>1213</v>
      </c>
      <c r="C52" s="15"/>
      <c r="D52" s="52" t="s">
        <v>1290</v>
      </c>
      <c r="E52" s="10" t="s">
        <v>1291</v>
      </c>
      <c r="F52" s="42" t="s">
        <v>23</v>
      </c>
      <c r="G52" s="42">
        <v>1</v>
      </c>
    </row>
    <row r="53" s="21" customFormat="1" ht="21.5" customHeight="1" spans="1:7">
      <c r="A53" s="15" t="s">
        <v>1292</v>
      </c>
      <c r="B53" s="57" t="s">
        <v>1213</v>
      </c>
      <c r="C53" s="15"/>
      <c r="D53" s="52" t="s">
        <v>1264</v>
      </c>
      <c r="E53" s="46" t="s">
        <v>1265</v>
      </c>
      <c r="F53" s="42" t="s">
        <v>23</v>
      </c>
      <c r="G53" s="42">
        <v>1</v>
      </c>
    </row>
    <row r="54" s="21" customFormat="1" ht="21.5" customHeight="1" spans="1:7">
      <c r="A54" s="15">
        <v>4.12</v>
      </c>
      <c r="B54" s="57" t="s">
        <v>1213</v>
      </c>
      <c r="C54" s="15"/>
      <c r="D54" s="52" t="s">
        <v>1273</v>
      </c>
      <c r="E54" s="46" t="s">
        <v>1274</v>
      </c>
      <c r="F54" s="42" t="s">
        <v>23</v>
      </c>
      <c r="G54" s="42">
        <v>1</v>
      </c>
    </row>
    <row r="55" s="21" customFormat="1" ht="21.5" customHeight="1" spans="1:7">
      <c r="A55" s="15">
        <v>5</v>
      </c>
      <c r="B55" s="57"/>
      <c r="C55" s="15"/>
      <c r="D55" s="52" t="s">
        <v>1293</v>
      </c>
      <c r="E55" s="46"/>
      <c r="F55" s="42"/>
      <c r="G55" s="42"/>
    </row>
    <row r="56" s="21" customFormat="1" ht="21.5" customHeight="1" spans="1:7">
      <c r="A56" s="15">
        <v>5.1</v>
      </c>
      <c r="B56" s="57" t="s">
        <v>1213</v>
      </c>
      <c r="C56" s="15"/>
      <c r="D56" s="52" t="s">
        <v>1294</v>
      </c>
      <c r="E56" s="46" t="s">
        <v>1295</v>
      </c>
      <c r="F56" s="42" t="s">
        <v>23</v>
      </c>
      <c r="G56" s="42">
        <v>1</v>
      </c>
    </row>
    <row r="57" s="21" customFormat="1" ht="21.5" customHeight="1" spans="1:7">
      <c r="A57" s="15">
        <v>5.2</v>
      </c>
      <c r="B57" s="57" t="s">
        <v>1213</v>
      </c>
      <c r="C57" s="15"/>
      <c r="D57" s="52" t="s">
        <v>1220</v>
      </c>
      <c r="E57" s="46" t="s">
        <v>1296</v>
      </c>
      <c r="F57" s="42" t="s">
        <v>23</v>
      </c>
      <c r="G57" s="42">
        <v>5</v>
      </c>
    </row>
    <row r="58" s="21" customFormat="1" ht="21.5" customHeight="1" spans="1:7">
      <c r="A58" s="15">
        <v>5.4</v>
      </c>
      <c r="B58" s="57" t="s">
        <v>1213</v>
      </c>
      <c r="C58" s="15"/>
      <c r="D58" s="52" t="s">
        <v>1264</v>
      </c>
      <c r="E58" s="46" t="s">
        <v>1265</v>
      </c>
      <c r="F58" s="42" t="s">
        <v>23</v>
      </c>
      <c r="G58" s="42">
        <v>1</v>
      </c>
    </row>
    <row r="59" s="21" customFormat="1" ht="21.5" customHeight="1" spans="1:7">
      <c r="A59" s="15">
        <v>5.5</v>
      </c>
      <c r="B59" s="57" t="s">
        <v>1213</v>
      </c>
      <c r="C59" s="15"/>
      <c r="D59" s="52" t="s">
        <v>1273</v>
      </c>
      <c r="E59" s="46" t="s">
        <v>1274</v>
      </c>
      <c r="F59" s="42" t="s">
        <v>23</v>
      </c>
      <c r="G59" s="42">
        <v>1</v>
      </c>
    </row>
    <row r="60" s="21" customFormat="1" ht="21.5" customHeight="1" spans="1:7">
      <c r="A60" s="15">
        <v>6</v>
      </c>
      <c r="B60" s="57"/>
      <c r="C60" s="15"/>
      <c r="D60" s="52" t="s">
        <v>1297</v>
      </c>
      <c r="E60" s="46"/>
      <c r="F60" s="42"/>
      <c r="G60" s="42"/>
    </row>
    <row r="61" s="21" customFormat="1" ht="21.5" customHeight="1" spans="1:7">
      <c r="A61" s="15">
        <v>6.1</v>
      </c>
      <c r="B61" s="57" t="s">
        <v>1213</v>
      </c>
      <c r="C61" s="15"/>
      <c r="D61" s="52" t="s">
        <v>1298</v>
      </c>
      <c r="E61" s="46" t="s">
        <v>1299</v>
      </c>
      <c r="F61" s="42" t="s">
        <v>26</v>
      </c>
      <c r="G61" s="42">
        <v>15</v>
      </c>
    </row>
    <row r="62" s="21" customFormat="1" ht="21.5" customHeight="1" spans="1:7">
      <c r="A62" s="15">
        <v>6.2</v>
      </c>
      <c r="B62" s="57" t="s">
        <v>1213</v>
      </c>
      <c r="C62" s="15"/>
      <c r="D62" s="52" t="s">
        <v>1300</v>
      </c>
      <c r="E62" s="46" t="s">
        <v>1301</v>
      </c>
      <c r="F62" s="42" t="s">
        <v>26</v>
      </c>
      <c r="G62" s="42">
        <v>15</v>
      </c>
    </row>
    <row r="63" s="21" customFormat="1" ht="21.5" customHeight="1" spans="1:7">
      <c r="A63" s="15">
        <v>6.3</v>
      </c>
      <c r="B63" s="57" t="s">
        <v>1213</v>
      </c>
      <c r="C63" s="15"/>
      <c r="D63" s="52" t="s">
        <v>1302</v>
      </c>
      <c r="E63" s="46" t="s">
        <v>1303</v>
      </c>
      <c r="F63" s="42" t="s">
        <v>23</v>
      </c>
      <c r="G63" s="42">
        <v>1</v>
      </c>
    </row>
    <row r="64" s="21" customFormat="1" ht="21.5" customHeight="1" spans="1:7">
      <c r="A64" s="15">
        <v>7</v>
      </c>
      <c r="B64" s="57"/>
      <c r="C64" s="15"/>
      <c r="D64" s="52" t="s">
        <v>1304</v>
      </c>
      <c r="E64" s="46"/>
      <c r="F64" s="42"/>
      <c r="G64" s="42"/>
    </row>
    <row r="65" s="21" customFormat="1" ht="21.5" customHeight="1" spans="1:7">
      <c r="A65" s="15">
        <v>7.1</v>
      </c>
      <c r="B65" s="57" t="s">
        <v>1213</v>
      </c>
      <c r="C65" s="15" t="s">
        <v>1305</v>
      </c>
      <c r="D65" s="52" t="s">
        <v>1306</v>
      </c>
      <c r="E65" s="46" t="s">
        <v>1307</v>
      </c>
      <c r="F65" s="42" t="s">
        <v>23</v>
      </c>
      <c r="G65" s="42">
        <v>1</v>
      </c>
    </row>
    <row r="66" s="21" customFormat="1" ht="21.5" customHeight="1" spans="1:7">
      <c r="A66" s="15">
        <v>7.2</v>
      </c>
      <c r="B66" s="57" t="s">
        <v>1213</v>
      </c>
      <c r="C66" s="15" t="s">
        <v>865</v>
      </c>
      <c r="D66" s="52" t="s">
        <v>1308</v>
      </c>
      <c r="E66" s="46" t="s">
        <v>1309</v>
      </c>
      <c r="F66" s="42" t="s">
        <v>23</v>
      </c>
      <c r="G66" s="42">
        <v>1</v>
      </c>
    </row>
    <row r="67" s="21" customFormat="1" ht="21.5" customHeight="1" spans="1:7">
      <c r="A67" s="15">
        <v>7.3</v>
      </c>
      <c r="B67" s="57" t="s">
        <v>1213</v>
      </c>
      <c r="C67" s="15" t="s">
        <v>824</v>
      </c>
      <c r="D67" s="52" t="s">
        <v>1310</v>
      </c>
      <c r="E67" s="46" t="s">
        <v>1311</v>
      </c>
      <c r="F67" s="42" t="s">
        <v>23</v>
      </c>
      <c r="G67" s="42">
        <v>1</v>
      </c>
    </row>
    <row r="68" s="21" customFormat="1" ht="21.5" customHeight="1" spans="1:7">
      <c r="A68" s="15">
        <v>7.4</v>
      </c>
      <c r="B68" s="57" t="s">
        <v>1213</v>
      </c>
      <c r="C68" s="15" t="s">
        <v>839</v>
      </c>
      <c r="D68" s="52" t="s">
        <v>839</v>
      </c>
      <c r="E68" s="46" t="s">
        <v>1312</v>
      </c>
      <c r="F68" s="42" t="s">
        <v>1313</v>
      </c>
      <c r="G68" s="42">
        <v>20</v>
      </c>
    </row>
    <row r="69" s="21" customFormat="1" ht="21.5" customHeight="1" spans="1:7">
      <c r="A69" s="15">
        <v>7.5</v>
      </c>
      <c r="B69" s="57" t="s">
        <v>1213</v>
      </c>
      <c r="C69" s="15" t="s">
        <v>842</v>
      </c>
      <c r="D69" s="52" t="s">
        <v>1314</v>
      </c>
      <c r="E69" s="46" t="s">
        <v>1315</v>
      </c>
      <c r="F69" s="42" t="s">
        <v>1316</v>
      </c>
      <c r="G69" s="42">
        <v>500</v>
      </c>
    </row>
    <row r="70" s="21" customFormat="1" ht="21.5" customHeight="1" spans="1:7">
      <c r="A70" s="15">
        <v>7.6</v>
      </c>
      <c r="B70" s="57" t="s">
        <v>1213</v>
      </c>
      <c r="C70" s="15"/>
      <c r="D70" s="52" t="s">
        <v>1317</v>
      </c>
      <c r="E70" s="46" t="s">
        <v>1318</v>
      </c>
      <c r="F70" s="42" t="s">
        <v>1313</v>
      </c>
      <c r="G70" s="42">
        <v>1</v>
      </c>
    </row>
    <row r="71" s="21" customFormat="1" ht="21.5" customHeight="1" spans="1:7">
      <c r="A71" s="15">
        <v>7.7</v>
      </c>
      <c r="B71" s="57" t="s">
        <v>1213</v>
      </c>
      <c r="C71" s="15"/>
      <c r="D71" s="52" t="s">
        <v>1319</v>
      </c>
      <c r="E71" s="46" t="s">
        <v>1320</v>
      </c>
      <c r="F71" s="42" t="s">
        <v>1313</v>
      </c>
      <c r="G71" s="42">
        <v>3</v>
      </c>
    </row>
    <row r="72" s="21" customFormat="1" ht="21.5" customHeight="1" spans="1:7">
      <c r="A72" s="15"/>
      <c r="B72" s="15"/>
      <c r="C72" s="15"/>
      <c r="D72" s="52"/>
      <c r="E72" s="46"/>
      <c r="F72" s="42"/>
      <c r="G72" s="42"/>
    </row>
    <row r="73" s="21" customFormat="1" ht="21.5" customHeight="1" spans="1:7">
      <c r="A73" s="12"/>
      <c r="B73" s="12"/>
      <c r="C73" s="12"/>
      <c r="D73" s="54" t="s">
        <v>34</v>
      </c>
      <c r="E73" s="13"/>
      <c r="F73" s="14"/>
      <c r="G73" s="14"/>
    </row>
    <row r="74" s="21" customFormat="1" ht="21.5" customHeight="1" spans="1:7">
      <c r="A74" s="15" t="s">
        <v>35</v>
      </c>
      <c r="B74" s="15"/>
      <c r="C74" s="15"/>
      <c r="D74" s="51" t="s">
        <v>1321</v>
      </c>
      <c r="E74" s="46"/>
      <c r="F74" s="42"/>
      <c r="G74" s="42"/>
    </row>
    <row r="75" s="21" customFormat="1" ht="81.75" customHeight="1" spans="1:7">
      <c r="A75" s="15">
        <v>1</v>
      </c>
      <c r="B75" s="57" t="s">
        <v>1322</v>
      </c>
      <c r="C75" s="15"/>
      <c r="D75" s="52" t="s">
        <v>1323</v>
      </c>
      <c r="E75" s="46" t="s">
        <v>1324</v>
      </c>
      <c r="F75" s="42" t="s">
        <v>23</v>
      </c>
      <c r="G75" s="42">
        <v>1</v>
      </c>
    </row>
    <row r="76" s="21" customFormat="1" ht="21.5" customHeight="1" spans="1:7">
      <c r="A76" s="15">
        <v>2</v>
      </c>
      <c r="B76" s="57" t="s">
        <v>1322</v>
      </c>
      <c r="C76" s="15"/>
      <c r="D76" s="52" t="s">
        <v>1325</v>
      </c>
      <c r="E76" s="46" t="s">
        <v>1326</v>
      </c>
      <c r="F76" s="42" t="s">
        <v>23</v>
      </c>
      <c r="G76" s="42">
        <v>1</v>
      </c>
    </row>
    <row r="77" s="21" customFormat="1" ht="21.5" customHeight="1" spans="1:7">
      <c r="A77" s="15">
        <v>3</v>
      </c>
      <c r="B77" s="57" t="s">
        <v>1322</v>
      </c>
      <c r="C77" s="15"/>
      <c r="D77" s="52" t="s">
        <v>1327</v>
      </c>
      <c r="E77" s="46" t="s">
        <v>1328</v>
      </c>
      <c r="F77" s="42" t="s">
        <v>23</v>
      </c>
      <c r="G77" s="42">
        <v>1</v>
      </c>
    </row>
    <row r="78" s="21" customFormat="1" ht="21.5" customHeight="1" spans="1:7">
      <c r="A78" s="15">
        <v>4</v>
      </c>
      <c r="B78" s="57" t="s">
        <v>1322</v>
      </c>
      <c r="C78" s="15"/>
      <c r="D78" s="52" t="s">
        <v>1329</v>
      </c>
      <c r="E78" s="46" t="s">
        <v>1330</v>
      </c>
      <c r="F78" s="42" t="s">
        <v>12</v>
      </c>
      <c r="G78" s="42">
        <v>1</v>
      </c>
    </row>
    <row r="79" s="21" customFormat="1" ht="21.5" customHeight="1" spans="1:7">
      <c r="A79" s="15">
        <v>5</v>
      </c>
      <c r="B79" s="57" t="s">
        <v>1322</v>
      </c>
      <c r="C79" s="15"/>
      <c r="D79" s="52" t="s">
        <v>1331</v>
      </c>
      <c r="E79" s="46" t="s">
        <v>1332</v>
      </c>
      <c r="F79" s="42" t="s">
        <v>12</v>
      </c>
      <c r="G79" s="42">
        <v>1</v>
      </c>
    </row>
    <row r="80" s="21" customFormat="1" ht="21.5" customHeight="1" spans="1:7">
      <c r="A80" s="15">
        <v>6</v>
      </c>
      <c r="B80" s="57" t="s">
        <v>1322</v>
      </c>
      <c r="C80" s="15"/>
      <c r="D80" s="52" t="s">
        <v>1333</v>
      </c>
      <c r="E80" s="46" t="s">
        <v>1334</v>
      </c>
      <c r="F80" s="42" t="s">
        <v>12</v>
      </c>
      <c r="G80" s="42">
        <v>2</v>
      </c>
    </row>
    <row r="81" s="21" customFormat="1" ht="21.5" customHeight="1" spans="1:7">
      <c r="A81" s="15">
        <v>7</v>
      </c>
      <c r="B81" s="57" t="s">
        <v>1322</v>
      </c>
      <c r="C81" s="15"/>
      <c r="D81" s="53" t="s">
        <v>1333</v>
      </c>
      <c r="E81" s="10" t="s">
        <v>1335</v>
      </c>
      <c r="F81" s="11" t="s">
        <v>12</v>
      </c>
      <c r="G81" s="11">
        <v>1</v>
      </c>
    </row>
    <row r="82" s="21" customFormat="1" ht="21.5" customHeight="1" spans="1:7">
      <c r="A82" s="15">
        <v>8</v>
      </c>
      <c r="B82" s="57" t="s">
        <v>1322</v>
      </c>
      <c r="C82" s="15"/>
      <c r="D82" s="53" t="s">
        <v>1333</v>
      </c>
      <c r="E82" s="10" t="s">
        <v>1336</v>
      </c>
      <c r="F82" s="11" t="s">
        <v>12</v>
      </c>
      <c r="G82" s="11">
        <v>2</v>
      </c>
    </row>
    <row r="83" s="21" customFormat="1" ht="21.5" customHeight="1" spans="1:7">
      <c r="A83" s="15">
        <v>9</v>
      </c>
      <c r="B83" s="57" t="s">
        <v>1322</v>
      </c>
      <c r="C83" s="15"/>
      <c r="D83" s="53" t="s">
        <v>1333</v>
      </c>
      <c r="E83" s="10" t="s">
        <v>1337</v>
      </c>
      <c r="F83" s="11" t="s">
        <v>12</v>
      </c>
      <c r="G83" s="11">
        <v>8</v>
      </c>
    </row>
    <row r="84" s="21" customFormat="1" ht="21.5" customHeight="1" spans="1:7">
      <c r="A84" s="15">
        <v>10</v>
      </c>
      <c r="B84" s="57" t="s">
        <v>1322</v>
      </c>
      <c r="C84" s="15"/>
      <c r="D84" s="53" t="s">
        <v>1333</v>
      </c>
      <c r="E84" s="10" t="s">
        <v>1338</v>
      </c>
      <c r="F84" s="11" t="s">
        <v>12</v>
      </c>
      <c r="G84" s="11">
        <v>1</v>
      </c>
    </row>
    <row r="85" s="21" customFormat="1" ht="21.5" customHeight="1" spans="1:7">
      <c r="A85" s="15">
        <v>11</v>
      </c>
      <c r="B85" s="57" t="s">
        <v>1322</v>
      </c>
      <c r="C85" s="15"/>
      <c r="D85" s="53" t="s">
        <v>1333</v>
      </c>
      <c r="E85" s="10" t="s">
        <v>1339</v>
      </c>
      <c r="F85" s="11" t="s">
        <v>12</v>
      </c>
      <c r="G85" s="11">
        <v>1</v>
      </c>
    </row>
    <row r="86" s="21" customFormat="1" ht="21.5" customHeight="1" spans="1:7">
      <c r="A86" s="15">
        <v>12</v>
      </c>
      <c r="B86" s="57" t="s">
        <v>1322</v>
      </c>
      <c r="C86" s="15"/>
      <c r="D86" s="53" t="s">
        <v>1333</v>
      </c>
      <c r="E86" s="10" t="s">
        <v>1340</v>
      </c>
      <c r="F86" s="11" t="s">
        <v>12</v>
      </c>
      <c r="G86" s="11">
        <v>1</v>
      </c>
    </row>
    <row r="87" s="21" customFormat="1" ht="21.5" customHeight="1" spans="1:7">
      <c r="A87" s="15"/>
      <c r="B87" s="57" t="s">
        <v>1322</v>
      </c>
      <c r="C87" s="15"/>
      <c r="D87" s="52" t="s">
        <v>1341</v>
      </c>
      <c r="E87" s="46" t="s">
        <v>1342</v>
      </c>
      <c r="F87" s="42" t="s">
        <v>23</v>
      </c>
      <c r="G87" s="42">
        <v>1</v>
      </c>
    </row>
    <row r="88" s="21" customFormat="1" ht="21.5" customHeight="1" spans="1:7">
      <c r="A88" s="15"/>
      <c r="B88" s="57" t="s">
        <v>1322</v>
      </c>
      <c r="C88" s="15"/>
      <c r="D88" s="53" t="s">
        <v>1343</v>
      </c>
      <c r="E88" s="10" t="s">
        <v>1344</v>
      </c>
      <c r="F88" s="11" t="s">
        <v>23</v>
      </c>
      <c r="G88" s="11">
        <v>2</v>
      </c>
    </row>
    <row r="89" s="21" customFormat="1" ht="21.5" customHeight="1" spans="1:7">
      <c r="A89" s="15">
        <v>13</v>
      </c>
      <c r="B89" s="15"/>
      <c r="C89" s="15"/>
      <c r="D89" s="52" t="s">
        <v>1304</v>
      </c>
      <c r="E89" s="46"/>
      <c r="F89" s="42"/>
      <c r="G89" s="42"/>
    </row>
    <row r="90" s="21" customFormat="1" ht="21.5" customHeight="1" spans="1:7">
      <c r="A90" s="15">
        <v>13.1</v>
      </c>
      <c r="B90" s="57" t="s">
        <v>1322</v>
      </c>
      <c r="C90" s="15" t="s">
        <v>1305</v>
      </c>
      <c r="D90" s="52" t="s">
        <v>1306</v>
      </c>
      <c r="E90" s="46" t="s">
        <v>1345</v>
      </c>
      <c r="F90" s="42" t="s">
        <v>23</v>
      </c>
      <c r="G90" s="42">
        <v>1</v>
      </c>
    </row>
    <row r="91" s="21" customFormat="1" ht="24" spans="1:7">
      <c r="A91" s="15">
        <v>13.2</v>
      </c>
      <c r="B91" s="57" t="s">
        <v>1322</v>
      </c>
      <c r="C91" s="15" t="s">
        <v>865</v>
      </c>
      <c r="D91" s="52" t="s">
        <v>1308</v>
      </c>
      <c r="E91" s="46" t="s">
        <v>1309</v>
      </c>
      <c r="F91" s="42" t="s">
        <v>23</v>
      </c>
      <c r="G91" s="42">
        <v>1</v>
      </c>
    </row>
    <row r="92" s="21" customFormat="1" ht="18" customHeight="1" spans="1:7">
      <c r="A92" s="15">
        <v>13.3</v>
      </c>
      <c r="B92" s="57" t="s">
        <v>1322</v>
      </c>
      <c r="C92" s="15" t="s">
        <v>824</v>
      </c>
      <c r="D92" s="52" t="s">
        <v>1310</v>
      </c>
      <c r="E92" s="46" t="s">
        <v>1346</v>
      </c>
      <c r="F92" s="42" t="s">
        <v>23</v>
      </c>
      <c r="G92" s="42">
        <v>1</v>
      </c>
    </row>
    <row r="93" s="21" customFormat="1" ht="21.5" customHeight="1" spans="1:7">
      <c r="A93" s="15">
        <v>13.4</v>
      </c>
      <c r="B93" s="57" t="s">
        <v>1322</v>
      </c>
      <c r="C93" s="15" t="s">
        <v>839</v>
      </c>
      <c r="D93" s="52" t="s">
        <v>1347</v>
      </c>
      <c r="E93" s="46" t="s">
        <v>1312</v>
      </c>
      <c r="F93" s="42" t="s">
        <v>1313</v>
      </c>
      <c r="G93" s="42">
        <v>0.5</v>
      </c>
    </row>
    <row r="94" s="21" customFormat="1" ht="21.5" customHeight="1" spans="1:7">
      <c r="A94" s="15">
        <v>13.5</v>
      </c>
      <c r="B94" s="57" t="s">
        <v>1322</v>
      </c>
      <c r="C94" s="15" t="s">
        <v>842</v>
      </c>
      <c r="D94" s="52" t="s">
        <v>1348</v>
      </c>
      <c r="E94" s="46" t="s">
        <v>1315</v>
      </c>
      <c r="F94" s="42" t="s">
        <v>1316</v>
      </c>
      <c r="G94" s="42">
        <v>10</v>
      </c>
    </row>
    <row r="95" s="21" customFormat="1" ht="21.5" customHeight="1" spans="1:7">
      <c r="A95" s="15">
        <v>13.6</v>
      </c>
      <c r="B95" s="57" t="s">
        <v>1322</v>
      </c>
      <c r="C95" s="15"/>
      <c r="D95" s="52" t="s">
        <v>1349</v>
      </c>
      <c r="E95" s="46" t="s">
        <v>1320</v>
      </c>
      <c r="F95" s="42" t="s">
        <v>1313</v>
      </c>
      <c r="G95" s="42">
        <v>3</v>
      </c>
    </row>
    <row r="96" s="21" customFormat="1" ht="21.5" customHeight="1" spans="1:7">
      <c r="A96" s="15">
        <v>13.7</v>
      </c>
      <c r="B96" s="57" t="s">
        <v>1322</v>
      </c>
      <c r="C96" s="15" t="s">
        <v>865</v>
      </c>
      <c r="D96" s="52" t="s">
        <v>1350</v>
      </c>
      <c r="E96" s="46" t="s">
        <v>1351</v>
      </c>
      <c r="F96" s="42" t="s">
        <v>23</v>
      </c>
      <c r="G96" s="42">
        <v>1</v>
      </c>
    </row>
    <row r="97" s="21" customFormat="1" ht="21.5" customHeight="1" spans="1:7">
      <c r="A97" s="15"/>
      <c r="B97" s="57"/>
      <c r="C97" s="15"/>
      <c r="D97" s="52" t="s">
        <v>1352</v>
      </c>
      <c r="E97" s="46" t="s">
        <v>1353</v>
      </c>
      <c r="F97" s="42" t="s">
        <v>1313</v>
      </c>
      <c r="G97" s="58">
        <v>1</v>
      </c>
    </row>
    <row r="98" s="21" customFormat="1" ht="21.5" customHeight="1" spans="1:7">
      <c r="A98" s="15"/>
      <c r="B98" s="15"/>
      <c r="C98" s="15"/>
      <c r="D98" s="53"/>
      <c r="E98" s="10"/>
      <c r="F98" s="11"/>
      <c r="G98" s="11"/>
    </row>
    <row r="99" s="21" customFormat="1" ht="21.5" customHeight="1" spans="1:7">
      <c r="A99" s="12"/>
      <c r="B99" s="12"/>
      <c r="C99" s="12"/>
      <c r="D99" s="54" t="s">
        <v>34</v>
      </c>
      <c r="E99" s="13"/>
      <c r="F99" s="14"/>
      <c r="G99" s="14"/>
    </row>
    <row r="100" s="21" customFormat="1" ht="21.5" customHeight="1" spans="1:7">
      <c r="A100" s="15" t="s">
        <v>54</v>
      </c>
      <c r="B100" s="15"/>
      <c r="C100" s="15"/>
      <c r="D100" s="51" t="s">
        <v>1354</v>
      </c>
      <c r="E100" s="46"/>
      <c r="F100" s="42"/>
      <c r="G100" s="42"/>
    </row>
    <row r="101" s="21" customFormat="1" ht="21.5" customHeight="1" spans="1:7">
      <c r="A101" s="15">
        <v>1</v>
      </c>
      <c r="B101" s="57" t="s">
        <v>1355</v>
      </c>
      <c r="C101" s="15"/>
      <c r="D101" s="53" t="s">
        <v>1323</v>
      </c>
      <c r="E101" s="10" t="s">
        <v>1356</v>
      </c>
      <c r="F101" s="11" t="s">
        <v>23</v>
      </c>
      <c r="G101" s="11">
        <v>1</v>
      </c>
    </row>
    <row r="102" s="21" customFormat="1" ht="21.5" customHeight="1" spans="1:7">
      <c r="A102" s="15">
        <v>2</v>
      </c>
      <c r="B102" s="57" t="s">
        <v>1355</v>
      </c>
      <c r="C102" s="15"/>
      <c r="D102" s="53" t="s">
        <v>1325</v>
      </c>
      <c r="E102" s="10" t="s">
        <v>1326</v>
      </c>
      <c r="F102" s="11" t="s">
        <v>23</v>
      </c>
      <c r="G102" s="11">
        <v>1</v>
      </c>
    </row>
    <row r="103" s="21" customFormat="1" ht="21.5" customHeight="1" spans="1:7">
      <c r="A103" s="15">
        <v>3</v>
      </c>
      <c r="B103" s="57" t="s">
        <v>1355</v>
      </c>
      <c r="C103" s="15"/>
      <c r="D103" s="53" t="s">
        <v>1327</v>
      </c>
      <c r="E103" s="10" t="s">
        <v>1328</v>
      </c>
      <c r="F103" s="11" t="s">
        <v>23</v>
      </c>
      <c r="G103" s="11">
        <v>1</v>
      </c>
    </row>
    <row r="104" s="21" customFormat="1" ht="21.5" customHeight="1" spans="1:7">
      <c r="A104" s="15">
        <v>4</v>
      </c>
      <c r="B104" s="57" t="s">
        <v>1355</v>
      </c>
      <c r="C104" s="15"/>
      <c r="D104" s="53" t="s">
        <v>1329</v>
      </c>
      <c r="E104" s="10" t="s">
        <v>1330</v>
      </c>
      <c r="F104" s="11" t="s">
        <v>12</v>
      </c>
      <c r="G104" s="11">
        <v>1</v>
      </c>
    </row>
    <row r="105" s="21" customFormat="1" ht="21.5" customHeight="1" spans="1:7">
      <c r="A105" s="15">
        <v>5</v>
      </c>
      <c r="B105" s="57" t="s">
        <v>1355</v>
      </c>
      <c r="C105" s="15"/>
      <c r="D105" s="53" t="s">
        <v>1333</v>
      </c>
      <c r="E105" s="10" t="s">
        <v>1357</v>
      </c>
      <c r="F105" s="11" t="s">
        <v>12</v>
      </c>
      <c r="G105" s="11">
        <v>1</v>
      </c>
    </row>
    <row r="106" s="21" customFormat="1" ht="21.5" customHeight="1" spans="1:7">
      <c r="A106" s="15">
        <v>6</v>
      </c>
      <c r="B106" s="57" t="s">
        <v>1355</v>
      </c>
      <c r="C106" s="15"/>
      <c r="D106" s="53" t="s">
        <v>1333</v>
      </c>
      <c r="E106" s="10" t="s">
        <v>1358</v>
      </c>
      <c r="F106" s="11" t="s">
        <v>12</v>
      </c>
      <c r="G106" s="11">
        <v>1</v>
      </c>
    </row>
    <row r="107" s="21" customFormat="1" ht="21.5" customHeight="1" spans="1:7">
      <c r="A107" s="15"/>
      <c r="B107" s="57" t="s">
        <v>1355</v>
      </c>
      <c r="C107" s="15"/>
      <c r="D107" s="53" t="s">
        <v>1333</v>
      </c>
      <c r="E107" s="10" t="s">
        <v>1359</v>
      </c>
      <c r="F107" s="11" t="s">
        <v>12</v>
      </c>
      <c r="G107" s="11">
        <v>1</v>
      </c>
    </row>
    <row r="108" s="21" customFormat="1" ht="21.5" customHeight="1" spans="1:7">
      <c r="A108" s="15">
        <v>7</v>
      </c>
      <c r="B108" s="15"/>
      <c r="C108" s="15"/>
      <c r="D108" s="53" t="s">
        <v>1304</v>
      </c>
      <c r="E108" s="10"/>
      <c r="F108" s="11"/>
      <c r="G108" s="11"/>
    </row>
    <row r="109" s="21" customFormat="1" ht="21.5" customHeight="1" spans="1:7">
      <c r="A109" s="15">
        <v>7.1</v>
      </c>
      <c r="B109" s="57" t="s">
        <v>1355</v>
      </c>
      <c r="C109" s="15" t="s">
        <v>1305</v>
      </c>
      <c r="D109" s="53" t="s">
        <v>1306</v>
      </c>
      <c r="E109" s="10" t="s">
        <v>1360</v>
      </c>
      <c r="F109" s="11" t="s">
        <v>23</v>
      </c>
      <c r="G109" s="11">
        <v>1</v>
      </c>
    </row>
    <row r="110" s="21" customFormat="1" ht="21.5" customHeight="1" spans="1:7">
      <c r="A110" s="15">
        <v>7.2</v>
      </c>
      <c r="B110" s="57" t="s">
        <v>1355</v>
      </c>
      <c r="C110" s="15" t="s">
        <v>865</v>
      </c>
      <c r="D110" s="53" t="s">
        <v>1308</v>
      </c>
      <c r="E110" s="10" t="s">
        <v>1309</v>
      </c>
      <c r="F110" s="11" t="s">
        <v>23</v>
      </c>
      <c r="G110" s="11">
        <v>1</v>
      </c>
    </row>
    <row r="111" s="21" customFormat="1" ht="21.5" customHeight="1" spans="1:7">
      <c r="A111" s="15">
        <v>7.3</v>
      </c>
      <c r="B111" s="57" t="s">
        <v>1355</v>
      </c>
      <c r="C111" s="15" t="s">
        <v>824</v>
      </c>
      <c r="D111" s="52" t="s">
        <v>1310</v>
      </c>
      <c r="E111" s="46" t="s">
        <v>1346</v>
      </c>
      <c r="F111" s="42" t="s">
        <v>23</v>
      </c>
      <c r="G111" s="42">
        <v>1</v>
      </c>
    </row>
    <row r="112" s="21" customFormat="1" ht="21.5" customHeight="1" spans="1:7">
      <c r="A112" s="15">
        <v>7.4</v>
      </c>
      <c r="B112" s="57" t="s">
        <v>1355</v>
      </c>
      <c r="C112" s="15" t="s">
        <v>839</v>
      </c>
      <c r="D112" s="52" t="s">
        <v>1347</v>
      </c>
      <c r="E112" s="46" t="s">
        <v>1312</v>
      </c>
      <c r="F112" s="42" t="s">
        <v>1313</v>
      </c>
      <c r="G112" s="42">
        <v>0.5</v>
      </c>
    </row>
    <row r="113" s="21" customFormat="1" ht="21.5" customHeight="1" spans="1:7">
      <c r="A113" s="15">
        <v>7.5</v>
      </c>
      <c r="B113" s="57" t="s">
        <v>1355</v>
      </c>
      <c r="C113" s="15" t="s">
        <v>842</v>
      </c>
      <c r="D113" s="52" t="s">
        <v>1348</v>
      </c>
      <c r="E113" s="46" t="s">
        <v>1315</v>
      </c>
      <c r="F113" s="42" t="s">
        <v>1316</v>
      </c>
      <c r="G113" s="42">
        <v>10</v>
      </c>
    </row>
    <row r="114" s="21" customFormat="1" ht="21.5" customHeight="1" spans="1:7">
      <c r="A114" s="15"/>
      <c r="B114" s="15"/>
      <c r="C114" s="15"/>
      <c r="D114" s="52" t="s">
        <v>1349</v>
      </c>
      <c r="E114" s="46" t="s">
        <v>1320</v>
      </c>
      <c r="F114" s="42" t="s">
        <v>1313</v>
      </c>
      <c r="G114" s="42">
        <v>3</v>
      </c>
    </row>
    <row r="115" s="21" customFormat="1" ht="21.5" customHeight="1" spans="1:7">
      <c r="A115" s="15"/>
      <c r="B115" s="15"/>
      <c r="C115" s="15"/>
      <c r="D115" s="52"/>
      <c r="E115" s="46"/>
      <c r="F115" s="42"/>
      <c r="G115" s="42"/>
    </row>
    <row r="116" s="21" customFormat="1" ht="21.5" customHeight="1" spans="1:7">
      <c r="A116" s="12"/>
      <c r="B116" s="12"/>
      <c r="C116" s="12"/>
      <c r="D116" s="54" t="s">
        <v>34</v>
      </c>
      <c r="E116" s="13"/>
      <c r="F116" s="14"/>
      <c r="G116" s="14"/>
    </row>
    <row r="117" s="21" customFormat="1" ht="21.5" customHeight="1" spans="1:7">
      <c r="A117" s="15" t="s">
        <v>1361</v>
      </c>
      <c r="B117" s="15"/>
      <c r="C117" s="15"/>
      <c r="D117" s="51" t="s">
        <v>1362</v>
      </c>
      <c r="E117" s="46"/>
      <c r="F117" s="42"/>
      <c r="G117" s="42"/>
    </row>
    <row r="118" s="21" customFormat="1" ht="21.5" customHeight="1" spans="1:7">
      <c r="A118" s="15">
        <v>1</v>
      </c>
      <c r="B118" s="57" t="s">
        <v>1363</v>
      </c>
      <c r="C118" s="15"/>
      <c r="D118" s="52" t="s">
        <v>1323</v>
      </c>
      <c r="E118" s="46" t="s">
        <v>1364</v>
      </c>
      <c r="F118" s="42" t="s">
        <v>23</v>
      </c>
      <c r="G118" s="42">
        <v>1</v>
      </c>
    </row>
    <row r="119" s="21" customFormat="1" ht="21.5" customHeight="1" spans="1:7">
      <c r="A119" s="15">
        <v>2</v>
      </c>
      <c r="B119" s="57" t="s">
        <v>1363</v>
      </c>
      <c r="C119" s="15"/>
      <c r="D119" s="52" t="s">
        <v>1325</v>
      </c>
      <c r="E119" s="46" t="s">
        <v>1326</v>
      </c>
      <c r="F119" s="42" t="s">
        <v>23</v>
      </c>
      <c r="G119" s="42">
        <v>1</v>
      </c>
    </row>
    <row r="120" s="21" customFormat="1" ht="21.5" customHeight="1" spans="1:7">
      <c r="A120" s="15">
        <v>3</v>
      </c>
      <c r="B120" s="57" t="s">
        <v>1363</v>
      </c>
      <c r="C120" s="15"/>
      <c r="D120" s="52" t="s">
        <v>1327</v>
      </c>
      <c r="E120" s="46" t="s">
        <v>1328</v>
      </c>
      <c r="F120" s="42" t="s">
        <v>23</v>
      </c>
      <c r="G120" s="42">
        <v>1</v>
      </c>
    </row>
    <row r="121" s="21" customFormat="1" ht="21.5" customHeight="1" spans="1:7">
      <c r="A121" s="15">
        <v>4</v>
      </c>
      <c r="B121" s="57" t="s">
        <v>1363</v>
      </c>
      <c r="C121" s="15"/>
      <c r="D121" s="52" t="s">
        <v>1329</v>
      </c>
      <c r="E121" s="46" t="s">
        <v>1330</v>
      </c>
      <c r="F121" s="42" t="s">
        <v>12</v>
      </c>
      <c r="G121" s="42">
        <v>1</v>
      </c>
    </row>
    <row r="122" s="21" customFormat="1" ht="21.5" customHeight="1" spans="1:7">
      <c r="A122" s="15">
        <v>5</v>
      </c>
      <c r="B122" s="57" t="s">
        <v>1363</v>
      </c>
      <c r="C122" s="15"/>
      <c r="D122" s="52" t="s">
        <v>1331</v>
      </c>
      <c r="E122" s="46" t="s">
        <v>1332</v>
      </c>
      <c r="F122" s="42" t="s">
        <v>12</v>
      </c>
      <c r="G122" s="42">
        <v>1</v>
      </c>
    </row>
    <row r="123" s="21" customFormat="1" ht="21.5" customHeight="1" spans="1:7">
      <c r="A123" s="15">
        <v>6</v>
      </c>
      <c r="B123" s="57" t="s">
        <v>1363</v>
      </c>
      <c r="C123" s="15"/>
      <c r="D123" s="52" t="s">
        <v>1343</v>
      </c>
      <c r="E123" s="46" t="s">
        <v>1344</v>
      </c>
      <c r="F123" s="42" t="s">
        <v>23</v>
      </c>
      <c r="G123" s="42">
        <v>2</v>
      </c>
    </row>
    <row r="124" s="21" customFormat="1" ht="21.5" customHeight="1" spans="1:7">
      <c r="A124" s="15">
        <v>7</v>
      </c>
      <c r="B124" s="57" t="s">
        <v>1363</v>
      </c>
      <c r="C124" s="15"/>
      <c r="D124" s="52" t="s">
        <v>1333</v>
      </c>
      <c r="E124" s="46" t="s">
        <v>1365</v>
      </c>
      <c r="F124" s="42" t="s">
        <v>12</v>
      </c>
      <c r="G124" s="42">
        <v>2</v>
      </c>
    </row>
    <row r="125" s="21" customFormat="1" ht="21.5" customHeight="1" spans="1:7">
      <c r="A125" s="15">
        <v>8</v>
      </c>
      <c r="B125" s="57" t="s">
        <v>1363</v>
      </c>
      <c r="C125" s="15"/>
      <c r="D125" s="52" t="s">
        <v>1333</v>
      </c>
      <c r="E125" s="46" t="s">
        <v>1366</v>
      </c>
      <c r="F125" s="42" t="s">
        <v>12</v>
      </c>
      <c r="G125" s="42">
        <v>2</v>
      </c>
    </row>
    <row r="126" s="21" customFormat="1" ht="21.5" customHeight="1" spans="1:7">
      <c r="A126" s="15">
        <v>9</v>
      </c>
      <c r="B126" s="57" t="s">
        <v>1363</v>
      </c>
      <c r="C126" s="15"/>
      <c r="D126" s="52" t="s">
        <v>1333</v>
      </c>
      <c r="E126" s="46" t="s">
        <v>1367</v>
      </c>
      <c r="F126" s="42" t="s">
        <v>12</v>
      </c>
      <c r="G126" s="42">
        <v>2</v>
      </c>
    </row>
    <row r="127" s="21" customFormat="1" ht="21.5" customHeight="1" spans="1:7">
      <c r="A127" s="15">
        <v>10</v>
      </c>
      <c r="B127" s="57" t="s">
        <v>1363</v>
      </c>
      <c r="C127" s="15"/>
      <c r="D127" s="52" t="s">
        <v>1333</v>
      </c>
      <c r="E127" s="46" t="s">
        <v>1340</v>
      </c>
      <c r="F127" s="42" t="s">
        <v>12</v>
      </c>
      <c r="G127" s="42">
        <v>1</v>
      </c>
    </row>
    <row r="128" s="21" customFormat="1" ht="21.5" customHeight="1" spans="1:7">
      <c r="A128" s="15">
        <v>11</v>
      </c>
      <c r="B128" s="57" t="s">
        <v>1363</v>
      </c>
      <c r="C128" s="15"/>
      <c r="D128" s="52" t="s">
        <v>1368</v>
      </c>
      <c r="E128" s="46" t="s">
        <v>1337</v>
      </c>
      <c r="F128" s="42" t="s">
        <v>12</v>
      </c>
      <c r="G128" s="42">
        <v>24</v>
      </c>
    </row>
    <row r="129" s="21" customFormat="1" ht="21.5" customHeight="1" spans="1:7">
      <c r="A129" s="15">
        <v>12</v>
      </c>
      <c r="B129" s="57" t="s">
        <v>1363</v>
      </c>
      <c r="C129" s="15"/>
      <c r="D129" s="52" t="s">
        <v>1304</v>
      </c>
      <c r="E129" s="46"/>
      <c r="F129" s="42"/>
      <c r="G129" s="42"/>
    </row>
    <row r="130" s="21" customFormat="1" ht="21.5" customHeight="1" spans="1:7">
      <c r="A130" s="15">
        <v>12.1</v>
      </c>
      <c r="B130" s="57" t="s">
        <v>1363</v>
      </c>
      <c r="C130" s="15" t="s">
        <v>1305</v>
      </c>
      <c r="D130" s="52" t="s">
        <v>1306</v>
      </c>
      <c r="E130" s="46" t="s">
        <v>1369</v>
      </c>
      <c r="F130" s="42" t="s">
        <v>23</v>
      </c>
      <c r="G130" s="42">
        <v>1</v>
      </c>
    </row>
    <row r="131" s="21" customFormat="1" ht="21.5" customHeight="1" spans="1:7">
      <c r="A131" s="15">
        <v>12.2</v>
      </c>
      <c r="B131" s="57" t="s">
        <v>1363</v>
      </c>
      <c r="C131" s="15" t="s">
        <v>865</v>
      </c>
      <c r="D131" s="52" t="s">
        <v>1308</v>
      </c>
      <c r="E131" s="46" t="s">
        <v>1309</v>
      </c>
      <c r="F131" s="42" t="s">
        <v>23</v>
      </c>
      <c r="G131" s="42">
        <v>1</v>
      </c>
    </row>
    <row r="132" s="21" customFormat="1" ht="21.5" customHeight="1" spans="1:7">
      <c r="A132" s="15">
        <v>12.3</v>
      </c>
      <c r="B132" s="57" t="s">
        <v>1363</v>
      </c>
      <c r="C132" s="15" t="s">
        <v>824</v>
      </c>
      <c r="D132" s="52" t="s">
        <v>1310</v>
      </c>
      <c r="E132" s="46" t="s">
        <v>1346</v>
      </c>
      <c r="F132" s="42" t="s">
        <v>23</v>
      </c>
      <c r="G132" s="42">
        <v>1</v>
      </c>
    </row>
    <row r="133" s="21" customFormat="1" ht="21.5" customHeight="1" spans="1:7">
      <c r="A133" s="15">
        <v>12.4</v>
      </c>
      <c r="B133" s="57" t="s">
        <v>1363</v>
      </c>
      <c r="C133" s="15" t="s">
        <v>839</v>
      </c>
      <c r="D133" s="52" t="s">
        <v>1347</v>
      </c>
      <c r="E133" s="46" t="s">
        <v>1312</v>
      </c>
      <c r="F133" s="42" t="s">
        <v>1313</v>
      </c>
      <c r="G133" s="42">
        <v>0.5</v>
      </c>
    </row>
    <row r="134" s="21" customFormat="1" ht="21.5" customHeight="1" spans="1:7">
      <c r="A134" s="15">
        <v>12.5</v>
      </c>
      <c r="B134" s="57" t="s">
        <v>1363</v>
      </c>
      <c r="C134" s="15" t="s">
        <v>842</v>
      </c>
      <c r="D134" s="52" t="s">
        <v>1348</v>
      </c>
      <c r="E134" s="46" t="s">
        <v>1315</v>
      </c>
      <c r="F134" s="42" t="s">
        <v>1316</v>
      </c>
      <c r="G134" s="42">
        <v>10</v>
      </c>
    </row>
    <row r="135" s="21" customFormat="1" ht="21.5" customHeight="1" spans="1:7">
      <c r="A135" s="15">
        <v>12.6</v>
      </c>
      <c r="B135" s="57" t="s">
        <v>1363</v>
      </c>
      <c r="C135" s="15"/>
      <c r="D135" s="52" t="s">
        <v>1349</v>
      </c>
      <c r="E135" s="46" t="s">
        <v>1320</v>
      </c>
      <c r="F135" s="42" t="s">
        <v>1313</v>
      </c>
      <c r="G135" s="42">
        <v>3</v>
      </c>
    </row>
    <row r="136" s="21" customFormat="1" ht="21.5" customHeight="1" spans="1:7">
      <c r="A136" s="15">
        <v>12.7</v>
      </c>
      <c r="B136" s="57" t="s">
        <v>1363</v>
      </c>
      <c r="C136" s="15" t="s">
        <v>865</v>
      </c>
      <c r="D136" s="52" t="s">
        <v>1350</v>
      </c>
      <c r="E136" s="46" t="s">
        <v>1351</v>
      </c>
      <c r="F136" s="42" t="s">
        <v>23</v>
      </c>
      <c r="G136" s="42">
        <v>1</v>
      </c>
    </row>
    <row r="137" s="21" customFormat="1" ht="21.5" customHeight="1" spans="1:7">
      <c r="A137" s="15"/>
      <c r="B137" s="15"/>
      <c r="C137" s="15"/>
      <c r="D137" s="52"/>
      <c r="E137" s="46"/>
      <c r="F137" s="42"/>
      <c r="G137" s="42"/>
    </row>
    <row r="138" s="21" customFormat="1" ht="21.5" customHeight="1" spans="1:7">
      <c r="A138" s="12"/>
      <c r="B138" s="12"/>
      <c r="C138" s="12"/>
      <c r="D138" s="54" t="s">
        <v>34</v>
      </c>
      <c r="E138" s="13"/>
      <c r="F138" s="14"/>
      <c r="G138" s="14"/>
    </row>
    <row r="139" s="21" customFormat="1" ht="21.5" customHeight="1" spans="1:7">
      <c r="A139" s="15" t="s">
        <v>1370</v>
      </c>
      <c r="B139" s="15"/>
      <c r="C139" s="15"/>
      <c r="D139" s="51" t="s">
        <v>1371</v>
      </c>
      <c r="E139" s="46"/>
      <c r="F139" s="42"/>
      <c r="G139" s="42"/>
    </row>
    <row r="140" s="21" customFormat="1" ht="21.5" customHeight="1" spans="1:7">
      <c r="A140" s="15">
        <v>1</v>
      </c>
      <c r="B140" s="57" t="s">
        <v>1372</v>
      </c>
      <c r="C140" s="15"/>
      <c r="D140" s="52" t="s">
        <v>1323</v>
      </c>
      <c r="E140" s="46" t="s">
        <v>1356</v>
      </c>
      <c r="F140" s="42" t="s">
        <v>23</v>
      </c>
      <c r="G140" s="42">
        <v>1</v>
      </c>
    </row>
    <row r="141" s="21" customFormat="1" ht="21.5" customHeight="1" spans="1:7">
      <c r="A141" s="15">
        <v>2</v>
      </c>
      <c r="B141" s="57" t="s">
        <v>1372</v>
      </c>
      <c r="C141" s="15"/>
      <c r="D141" s="52" t="s">
        <v>1325</v>
      </c>
      <c r="E141" s="46" t="s">
        <v>1326</v>
      </c>
      <c r="F141" s="42" t="s">
        <v>23</v>
      </c>
      <c r="G141" s="42">
        <v>1</v>
      </c>
    </row>
    <row r="142" s="21" customFormat="1" ht="21.5" customHeight="1" spans="1:7">
      <c r="A142" s="15">
        <v>3</v>
      </c>
      <c r="B142" s="57" t="s">
        <v>1372</v>
      </c>
      <c r="C142" s="15"/>
      <c r="D142" s="52" t="s">
        <v>1327</v>
      </c>
      <c r="E142" s="46" t="s">
        <v>1328</v>
      </c>
      <c r="F142" s="42" t="s">
        <v>23</v>
      </c>
      <c r="G142" s="42">
        <v>1</v>
      </c>
    </row>
    <row r="143" s="21" customFormat="1" ht="21.5" customHeight="1" spans="1:7">
      <c r="A143" s="15">
        <v>4</v>
      </c>
      <c r="B143" s="57" t="s">
        <v>1372</v>
      </c>
      <c r="C143" s="15"/>
      <c r="D143" s="52" t="s">
        <v>1329</v>
      </c>
      <c r="E143" s="46" t="s">
        <v>1330</v>
      </c>
      <c r="F143" s="42" t="s">
        <v>12</v>
      </c>
      <c r="G143" s="42">
        <v>1</v>
      </c>
    </row>
    <row r="144" s="21" customFormat="1" ht="21.5" customHeight="1" spans="1:7">
      <c r="A144" s="15">
        <v>5</v>
      </c>
      <c r="B144" s="57" t="s">
        <v>1372</v>
      </c>
      <c r="C144" s="15"/>
      <c r="D144" s="52" t="s">
        <v>1331</v>
      </c>
      <c r="E144" s="46" t="s">
        <v>1332</v>
      </c>
      <c r="F144" s="42" t="s">
        <v>12</v>
      </c>
      <c r="G144" s="42">
        <v>1</v>
      </c>
    </row>
    <row r="145" s="21" customFormat="1" ht="21.5" customHeight="1" spans="1:7">
      <c r="A145" s="15">
        <v>6</v>
      </c>
      <c r="B145" s="57" t="s">
        <v>1372</v>
      </c>
      <c r="C145" s="15"/>
      <c r="D145" s="53" t="s">
        <v>1333</v>
      </c>
      <c r="E145" s="10" t="s">
        <v>1373</v>
      </c>
      <c r="F145" s="11" t="s">
        <v>12</v>
      </c>
      <c r="G145" s="11">
        <v>1</v>
      </c>
    </row>
    <row r="146" s="21" customFormat="1" ht="21.5" customHeight="1" spans="1:7">
      <c r="A146" s="15">
        <v>7</v>
      </c>
      <c r="B146" s="57" t="s">
        <v>1372</v>
      </c>
      <c r="C146" s="15"/>
      <c r="D146" s="53" t="s">
        <v>1333</v>
      </c>
      <c r="E146" s="10" t="s">
        <v>1374</v>
      </c>
      <c r="F146" s="11" t="s">
        <v>12</v>
      </c>
      <c r="G146" s="11">
        <v>1</v>
      </c>
    </row>
    <row r="147" s="21" customFormat="1" ht="21.5" customHeight="1" spans="1:7">
      <c r="A147" s="15">
        <v>9</v>
      </c>
      <c r="B147" s="57" t="s">
        <v>1372</v>
      </c>
      <c r="C147" s="15"/>
      <c r="D147" s="53" t="s">
        <v>1333</v>
      </c>
      <c r="E147" s="10" t="s">
        <v>1375</v>
      </c>
      <c r="F147" s="11" t="s">
        <v>12</v>
      </c>
      <c r="G147" s="11">
        <v>3</v>
      </c>
    </row>
    <row r="148" s="21" customFormat="1" ht="21.5" customHeight="1" spans="1:7">
      <c r="A148" s="15">
        <v>10</v>
      </c>
      <c r="B148" s="57" t="s">
        <v>1372</v>
      </c>
      <c r="C148" s="15"/>
      <c r="D148" s="53" t="s">
        <v>1333</v>
      </c>
      <c r="E148" s="10" t="s">
        <v>1367</v>
      </c>
      <c r="F148" s="11" t="s">
        <v>12</v>
      </c>
      <c r="G148" s="11">
        <v>1</v>
      </c>
    </row>
    <row r="149" s="21" customFormat="1" ht="21.5" customHeight="1" spans="1:7">
      <c r="A149" s="15"/>
      <c r="B149" s="57" t="s">
        <v>1372</v>
      </c>
      <c r="C149" s="15"/>
      <c r="D149" s="53" t="s">
        <v>1333</v>
      </c>
      <c r="E149" s="10" t="s">
        <v>1339</v>
      </c>
      <c r="F149" s="11" t="s">
        <v>12</v>
      </c>
      <c r="G149" s="11">
        <v>4</v>
      </c>
    </row>
    <row r="150" s="21" customFormat="1" ht="21.5" customHeight="1" spans="1:7">
      <c r="A150" s="15">
        <v>12</v>
      </c>
      <c r="B150" s="57" t="s">
        <v>1372</v>
      </c>
      <c r="C150" s="15"/>
      <c r="D150" s="53" t="s">
        <v>1333</v>
      </c>
      <c r="E150" s="10" t="s">
        <v>1340</v>
      </c>
      <c r="F150" s="11" t="s">
        <v>12</v>
      </c>
      <c r="G150" s="11">
        <v>1</v>
      </c>
    </row>
    <row r="151" s="21" customFormat="1" ht="21.5" customHeight="1" spans="1:7">
      <c r="A151" s="15">
        <v>13</v>
      </c>
      <c r="B151" s="57"/>
      <c r="C151" s="15"/>
      <c r="D151" s="53" t="s">
        <v>1304</v>
      </c>
      <c r="E151" s="10"/>
      <c r="F151" s="11"/>
      <c r="G151" s="11"/>
    </row>
    <row r="152" s="21" customFormat="1" ht="21.5" customHeight="1" spans="1:7">
      <c r="A152" s="15">
        <v>13.1</v>
      </c>
      <c r="B152" s="57" t="s">
        <v>1372</v>
      </c>
      <c r="C152" s="15" t="s">
        <v>1305</v>
      </c>
      <c r="D152" s="52" t="s">
        <v>1306</v>
      </c>
      <c r="E152" s="46" t="s">
        <v>1369</v>
      </c>
      <c r="F152" s="42" t="s">
        <v>23</v>
      </c>
      <c r="G152" s="42">
        <v>1</v>
      </c>
    </row>
    <row r="153" s="21" customFormat="1" ht="21.5" customHeight="1" spans="1:7">
      <c r="A153" s="15">
        <v>13.2</v>
      </c>
      <c r="B153" s="57" t="s">
        <v>1372</v>
      </c>
      <c r="C153" s="15" t="s">
        <v>865</v>
      </c>
      <c r="D153" s="52" t="s">
        <v>1308</v>
      </c>
      <c r="E153" s="46" t="s">
        <v>1309</v>
      </c>
      <c r="F153" s="42" t="s">
        <v>23</v>
      </c>
      <c r="G153" s="42">
        <v>1</v>
      </c>
    </row>
    <row r="154" s="21" customFormat="1" ht="21.5" customHeight="1" spans="1:7">
      <c r="A154" s="15">
        <v>13.3</v>
      </c>
      <c r="B154" s="57" t="s">
        <v>1372</v>
      </c>
      <c r="C154" s="15" t="s">
        <v>824</v>
      </c>
      <c r="D154" s="52" t="s">
        <v>1310</v>
      </c>
      <c r="E154" s="46" t="s">
        <v>1346</v>
      </c>
      <c r="F154" s="42" t="s">
        <v>23</v>
      </c>
      <c r="G154" s="42">
        <v>1</v>
      </c>
    </row>
    <row r="155" s="21" customFormat="1" ht="21.5" customHeight="1" spans="1:7">
      <c r="A155" s="15">
        <v>13.4</v>
      </c>
      <c r="B155" s="57" t="s">
        <v>1372</v>
      </c>
      <c r="C155" s="15" t="s">
        <v>839</v>
      </c>
      <c r="D155" s="52" t="s">
        <v>1347</v>
      </c>
      <c r="E155" s="46" t="s">
        <v>1312</v>
      </c>
      <c r="F155" s="42" t="s">
        <v>1313</v>
      </c>
      <c r="G155" s="42">
        <v>0.5</v>
      </c>
    </row>
    <row r="156" s="21" customFormat="1" ht="21.5" customHeight="1" spans="1:7">
      <c r="A156" s="15">
        <v>13.5</v>
      </c>
      <c r="B156" s="57" t="s">
        <v>1372</v>
      </c>
      <c r="C156" s="15" t="s">
        <v>842</v>
      </c>
      <c r="D156" s="52" t="s">
        <v>1348</v>
      </c>
      <c r="E156" s="46" t="s">
        <v>1315</v>
      </c>
      <c r="F156" s="42" t="s">
        <v>1316</v>
      </c>
      <c r="G156" s="42">
        <v>10</v>
      </c>
    </row>
    <row r="157" s="21" customFormat="1" ht="21.5" customHeight="1" spans="1:7">
      <c r="A157" s="15">
        <v>13.6</v>
      </c>
      <c r="B157" s="57" t="s">
        <v>1372</v>
      </c>
      <c r="C157" s="15"/>
      <c r="D157" s="52" t="s">
        <v>1349</v>
      </c>
      <c r="E157" s="46" t="s">
        <v>1320</v>
      </c>
      <c r="F157" s="42" t="s">
        <v>1313</v>
      </c>
      <c r="G157" s="42">
        <v>3</v>
      </c>
    </row>
    <row r="158" s="21" customFormat="1" ht="21.5" customHeight="1" spans="1:7">
      <c r="A158" s="15">
        <v>13.7</v>
      </c>
      <c r="B158" s="57" t="s">
        <v>1372</v>
      </c>
      <c r="C158" s="15" t="s">
        <v>865</v>
      </c>
      <c r="D158" s="52" t="s">
        <v>1350</v>
      </c>
      <c r="E158" s="46" t="s">
        <v>1351</v>
      </c>
      <c r="F158" s="42" t="s">
        <v>23</v>
      </c>
      <c r="G158" s="42">
        <v>1</v>
      </c>
    </row>
    <row r="159" s="21" customFormat="1" ht="21.5" customHeight="1" spans="1:7">
      <c r="A159" s="15"/>
      <c r="B159" s="57"/>
      <c r="C159" s="15"/>
      <c r="D159" s="52" t="s">
        <v>1352</v>
      </c>
      <c r="E159" s="46" t="s">
        <v>1353</v>
      </c>
      <c r="F159" s="42" t="s">
        <v>1313</v>
      </c>
      <c r="G159" s="42">
        <v>2</v>
      </c>
    </row>
    <row r="160" s="21" customFormat="1" ht="21.5" customHeight="1" spans="1:7">
      <c r="A160" s="15"/>
      <c r="B160" s="15"/>
      <c r="C160" s="15"/>
      <c r="D160" s="52"/>
      <c r="E160" s="46"/>
      <c r="F160" s="42"/>
      <c r="G160" s="42"/>
    </row>
    <row r="161" s="21" customFormat="1" ht="21.5" customHeight="1" spans="1:7">
      <c r="A161" s="12"/>
      <c r="B161" s="12"/>
      <c r="C161" s="12"/>
      <c r="D161" s="54" t="s">
        <v>34</v>
      </c>
      <c r="E161" s="13"/>
      <c r="F161" s="14"/>
      <c r="G161" s="14"/>
    </row>
    <row r="162" s="21" customFormat="1" ht="21.5" customHeight="1" spans="1:7">
      <c r="A162" s="15" t="s">
        <v>1376</v>
      </c>
      <c r="B162" s="15"/>
      <c r="C162" s="15"/>
      <c r="D162" s="51" t="s">
        <v>1377</v>
      </c>
      <c r="E162" s="46"/>
      <c r="F162" s="42"/>
      <c r="G162" s="42"/>
    </row>
    <row r="163" s="21" customFormat="1" ht="21.5" customHeight="1" spans="1:7">
      <c r="A163" s="15">
        <v>1</v>
      </c>
      <c r="B163" s="57" t="s">
        <v>1378</v>
      </c>
      <c r="C163" s="15"/>
      <c r="D163" s="52" t="s">
        <v>1323</v>
      </c>
      <c r="E163" s="46" t="s">
        <v>1379</v>
      </c>
      <c r="F163" s="42" t="s">
        <v>23</v>
      </c>
      <c r="G163" s="42">
        <v>1</v>
      </c>
    </row>
    <row r="164" s="21" customFormat="1" ht="21.5" customHeight="1" spans="1:7">
      <c r="A164" s="15">
        <v>2</v>
      </c>
      <c r="B164" s="57" t="s">
        <v>1378</v>
      </c>
      <c r="C164" s="15"/>
      <c r="D164" s="52" t="s">
        <v>1325</v>
      </c>
      <c r="E164" s="46" t="s">
        <v>1380</v>
      </c>
      <c r="F164" s="42" t="s">
        <v>23</v>
      </c>
      <c r="G164" s="42">
        <v>1</v>
      </c>
    </row>
    <row r="165" s="21" customFormat="1" ht="21.5" customHeight="1" spans="1:7">
      <c r="A165" s="15">
        <v>3</v>
      </c>
      <c r="B165" s="57" t="s">
        <v>1378</v>
      </c>
      <c r="C165" s="15"/>
      <c r="D165" s="52" t="s">
        <v>1327</v>
      </c>
      <c r="E165" s="46" t="s">
        <v>1381</v>
      </c>
      <c r="F165" s="42" t="s">
        <v>23</v>
      </c>
      <c r="G165" s="42">
        <v>1</v>
      </c>
    </row>
    <row r="166" s="21" customFormat="1" ht="21.5" customHeight="1" spans="1:7">
      <c r="A166" s="15">
        <v>4</v>
      </c>
      <c r="B166" s="57" t="s">
        <v>1378</v>
      </c>
      <c r="C166" s="15"/>
      <c r="D166" s="52" t="s">
        <v>1329</v>
      </c>
      <c r="E166" s="46" t="s">
        <v>1382</v>
      </c>
      <c r="F166" s="42" t="s">
        <v>12</v>
      </c>
      <c r="G166" s="42">
        <v>1</v>
      </c>
    </row>
    <row r="167" s="21" customFormat="1" ht="21.5" customHeight="1" spans="1:7">
      <c r="A167" s="15">
        <v>5</v>
      </c>
      <c r="B167" s="57" t="s">
        <v>1378</v>
      </c>
      <c r="C167" s="15"/>
      <c r="D167" s="52" t="s">
        <v>1333</v>
      </c>
      <c r="E167" s="46" t="s">
        <v>1383</v>
      </c>
      <c r="F167" s="42" t="s">
        <v>12</v>
      </c>
      <c r="G167" s="42">
        <v>14</v>
      </c>
    </row>
    <row r="168" s="21" customFormat="1" ht="21.5" customHeight="1" spans="1:7">
      <c r="A168" s="15">
        <v>6</v>
      </c>
      <c r="B168" s="57" t="s">
        <v>1378</v>
      </c>
      <c r="C168" s="15"/>
      <c r="D168" s="52" t="s">
        <v>1368</v>
      </c>
      <c r="E168" s="46" t="s">
        <v>1337</v>
      </c>
      <c r="F168" s="42" t="s">
        <v>12</v>
      </c>
      <c r="G168" s="42">
        <v>16</v>
      </c>
    </row>
    <row r="169" s="21" customFormat="1" ht="21.5" customHeight="1" spans="1:7">
      <c r="A169" s="15">
        <v>7</v>
      </c>
      <c r="B169" s="57" t="s">
        <v>1378</v>
      </c>
      <c r="C169" s="15"/>
      <c r="D169" s="52" t="s">
        <v>1304</v>
      </c>
      <c r="E169" s="46"/>
      <c r="F169" s="42"/>
      <c r="G169" s="42"/>
    </row>
    <row r="170" s="21" customFormat="1" ht="21.5" customHeight="1" spans="1:7">
      <c r="A170" s="15">
        <v>7.1</v>
      </c>
      <c r="B170" s="57" t="s">
        <v>1378</v>
      </c>
      <c r="C170" s="15" t="s">
        <v>1305</v>
      </c>
      <c r="D170" s="52" t="s">
        <v>1306</v>
      </c>
      <c r="E170" s="46" t="s">
        <v>1384</v>
      </c>
      <c r="F170" s="42" t="s">
        <v>23</v>
      </c>
      <c r="G170" s="42">
        <v>1</v>
      </c>
    </row>
    <row r="171" s="21" customFormat="1" ht="21.5" customHeight="1" spans="1:7">
      <c r="A171" s="15">
        <v>7.2</v>
      </c>
      <c r="B171" s="57" t="s">
        <v>1378</v>
      </c>
      <c r="C171" s="15" t="s">
        <v>865</v>
      </c>
      <c r="D171" s="52" t="s">
        <v>1308</v>
      </c>
      <c r="E171" s="46" t="s">
        <v>1309</v>
      </c>
      <c r="F171" s="42" t="s">
        <v>23</v>
      </c>
      <c r="G171" s="42">
        <v>1</v>
      </c>
    </row>
    <row r="172" s="21" customFormat="1" ht="21.5" customHeight="1" spans="1:7">
      <c r="A172" s="15">
        <v>7.3</v>
      </c>
      <c r="B172" s="57" t="s">
        <v>1378</v>
      </c>
      <c r="C172" s="15" t="s">
        <v>824</v>
      </c>
      <c r="D172" s="52" t="s">
        <v>1310</v>
      </c>
      <c r="E172" s="46" t="s">
        <v>1346</v>
      </c>
      <c r="F172" s="42" t="s">
        <v>23</v>
      </c>
      <c r="G172" s="42">
        <v>1</v>
      </c>
    </row>
    <row r="173" s="21" customFormat="1" ht="21.5" customHeight="1" spans="1:7">
      <c r="A173" s="15">
        <v>7.4</v>
      </c>
      <c r="B173" s="57" t="s">
        <v>1378</v>
      </c>
      <c r="C173" s="15" t="s">
        <v>839</v>
      </c>
      <c r="D173" s="52" t="s">
        <v>1347</v>
      </c>
      <c r="E173" s="46" t="s">
        <v>1312</v>
      </c>
      <c r="F173" s="42" t="s">
        <v>1313</v>
      </c>
      <c r="G173" s="42">
        <v>0.5</v>
      </c>
    </row>
    <row r="174" s="21" customFormat="1" ht="21.5" customHeight="1" spans="1:7">
      <c r="A174" s="15">
        <v>7.5</v>
      </c>
      <c r="B174" s="57" t="s">
        <v>1378</v>
      </c>
      <c r="C174" s="15" t="s">
        <v>842</v>
      </c>
      <c r="D174" s="52" t="s">
        <v>1348</v>
      </c>
      <c r="E174" s="46" t="s">
        <v>1315</v>
      </c>
      <c r="F174" s="42" t="s">
        <v>1316</v>
      </c>
      <c r="G174" s="42">
        <v>10</v>
      </c>
    </row>
    <row r="175" s="21" customFormat="1" ht="21.5" customHeight="1" spans="1:7">
      <c r="A175" s="15">
        <v>7.6</v>
      </c>
      <c r="B175" s="57" t="s">
        <v>1378</v>
      </c>
      <c r="C175" s="15" t="s">
        <v>865</v>
      </c>
      <c r="D175" s="52" t="s">
        <v>1350</v>
      </c>
      <c r="E175" s="46" t="s">
        <v>1351</v>
      </c>
      <c r="F175" s="42" t="s">
        <v>23</v>
      </c>
      <c r="G175" s="42">
        <v>1</v>
      </c>
    </row>
    <row r="176" s="21" customFormat="1" ht="21.5" customHeight="1" spans="1:7">
      <c r="A176" s="15"/>
      <c r="B176" s="15"/>
      <c r="C176" s="15"/>
      <c r="D176" s="52"/>
      <c r="E176" s="46"/>
      <c r="F176" s="42"/>
      <c r="G176" s="42"/>
    </row>
    <row r="177" s="21" customFormat="1" ht="21.5" customHeight="1" spans="1:7">
      <c r="A177" s="12"/>
      <c r="B177" s="12"/>
      <c r="C177" s="12"/>
      <c r="D177" s="54" t="s">
        <v>34</v>
      </c>
      <c r="E177" s="13"/>
      <c r="F177" s="14"/>
      <c r="G177" s="14"/>
    </row>
    <row r="178" s="21" customFormat="1" ht="21.5" customHeight="1" spans="1:7">
      <c r="A178" s="15" t="s">
        <v>1385</v>
      </c>
      <c r="B178" s="15"/>
      <c r="C178" s="15"/>
      <c r="D178" s="51" t="s">
        <v>1386</v>
      </c>
      <c r="E178" s="46"/>
      <c r="F178" s="42"/>
      <c r="G178" s="42"/>
    </row>
    <row r="179" s="21" customFormat="1" ht="21.5" customHeight="1" spans="1:7">
      <c r="A179" s="15">
        <v>1</v>
      </c>
      <c r="B179" s="15">
        <v>2153</v>
      </c>
      <c r="C179" s="15"/>
      <c r="D179" s="52" t="s">
        <v>1387</v>
      </c>
      <c r="E179" s="46" t="s">
        <v>1388</v>
      </c>
      <c r="F179" s="42" t="s">
        <v>12</v>
      </c>
      <c r="G179" s="42">
        <v>4</v>
      </c>
    </row>
    <row r="180" s="21" customFormat="1" ht="21.5" customHeight="1" spans="1:7">
      <c r="A180" s="15">
        <v>2</v>
      </c>
      <c r="B180" s="15">
        <v>2153</v>
      </c>
      <c r="C180" s="15"/>
      <c r="D180" s="52" t="s">
        <v>1387</v>
      </c>
      <c r="E180" s="46" t="s">
        <v>1389</v>
      </c>
      <c r="F180" s="42" t="s">
        <v>12</v>
      </c>
      <c r="G180" s="42">
        <v>5</v>
      </c>
    </row>
    <row r="181" s="21" customFormat="1" ht="21.5" customHeight="1" spans="1:7">
      <c r="A181" s="15">
        <v>3</v>
      </c>
      <c r="B181" s="15">
        <v>2153</v>
      </c>
      <c r="C181" s="15"/>
      <c r="D181" s="52" t="s">
        <v>1390</v>
      </c>
      <c r="E181" s="46" t="s">
        <v>1391</v>
      </c>
      <c r="F181" s="42" t="s">
        <v>12</v>
      </c>
      <c r="G181" s="42">
        <v>10</v>
      </c>
    </row>
    <row r="182" s="21" customFormat="1" ht="21.5" customHeight="1" spans="1:7">
      <c r="A182" s="15">
        <v>4</v>
      </c>
      <c r="B182" s="15">
        <v>2153</v>
      </c>
      <c r="C182" s="15"/>
      <c r="D182" s="52" t="s">
        <v>1392</v>
      </c>
      <c r="E182" s="46" t="s">
        <v>1393</v>
      </c>
      <c r="F182" s="42" t="s">
        <v>12</v>
      </c>
      <c r="G182" s="42">
        <v>54</v>
      </c>
    </row>
    <row r="183" s="21" customFormat="1" ht="21.5" customHeight="1" spans="1:7">
      <c r="A183" s="15">
        <v>5</v>
      </c>
      <c r="B183" s="15">
        <v>2153</v>
      </c>
      <c r="C183" s="15"/>
      <c r="D183" s="52" t="s">
        <v>1392</v>
      </c>
      <c r="E183" s="46" t="s">
        <v>1394</v>
      </c>
      <c r="F183" s="42" t="s">
        <v>12</v>
      </c>
      <c r="G183" s="42">
        <v>4</v>
      </c>
    </row>
    <row r="184" s="21" customFormat="1" ht="21.5" customHeight="1" spans="1:7">
      <c r="A184" s="15"/>
      <c r="B184" s="15">
        <v>2153</v>
      </c>
      <c r="C184" s="15"/>
      <c r="D184" s="52" t="s">
        <v>1387</v>
      </c>
      <c r="E184" s="46" t="s">
        <v>1395</v>
      </c>
      <c r="F184" s="42" t="s">
        <v>12</v>
      </c>
      <c r="G184" s="42">
        <v>37</v>
      </c>
    </row>
    <row r="185" s="21" customFormat="1" ht="21.5" customHeight="1" spans="1:7">
      <c r="A185" s="15">
        <v>6</v>
      </c>
      <c r="B185" s="15">
        <v>2153</v>
      </c>
      <c r="C185" s="15"/>
      <c r="D185" s="52" t="s">
        <v>1396</v>
      </c>
      <c r="E185" s="46" t="s">
        <v>1397</v>
      </c>
      <c r="F185" s="42" t="s">
        <v>12</v>
      </c>
      <c r="G185" s="42">
        <v>62</v>
      </c>
    </row>
    <row r="186" s="21" customFormat="1" ht="21.5" customHeight="1" spans="1:7">
      <c r="A186" s="15">
        <v>7</v>
      </c>
      <c r="B186" s="15">
        <v>2153</v>
      </c>
      <c r="C186" s="15"/>
      <c r="D186" s="52" t="s">
        <v>1398</v>
      </c>
      <c r="E186" s="46" t="s">
        <v>1399</v>
      </c>
      <c r="F186" s="42" t="s">
        <v>12</v>
      </c>
      <c r="G186" s="42">
        <v>5</v>
      </c>
    </row>
    <row r="187" s="21" customFormat="1" ht="21.5" customHeight="1" spans="1:7">
      <c r="A187" s="15">
        <v>8</v>
      </c>
      <c r="B187" s="15">
        <v>2153</v>
      </c>
      <c r="C187" s="15"/>
      <c r="D187" s="53" t="s">
        <v>1398</v>
      </c>
      <c r="E187" s="10" t="s">
        <v>1400</v>
      </c>
      <c r="F187" s="11" t="s">
        <v>12</v>
      </c>
      <c r="G187" s="11">
        <v>10</v>
      </c>
    </row>
    <row r="188" s="21" customFormat="1" ht="21.5" customHeight="1" spans="1:7">
      <c r="A188" s="15">
        <v>9</v>
      </c>
      <c r="B188" s="15">
        <v>2153</v>
      </c>
      <c r="C188" s="15"/>
      <c r="D188" s="53" t="s">
        <v>1398</v>
      </c>
      <c r="E188" s="10" t="s">
        <v>1401</v>
      </c>
      <c r="F188" s="11" t="s">
        <v>12</v>
      </c>
      <c r="G188" s="11">
        <v>13</v>
      </c>
    </row>
    <row r="189" s="21" customFormat="1" ht="36" spans="1:7">
      <c r="A189" s="15">
        <v>10</v>
      </c>
      <c r="B189" s="15">
        <v>2153</v>
      </c>
      <c r="C189" s="15"/>
      <c r="D189" s="53" t="s">
        <v>1402</v>
      </c>
      <c r="E189" s="10" t="s">
        <v>1403</v>
      </c>
      <c r="F189" s="11" t="s">
        <v>23</v>
      </c>
      <c r="G189" s="11">
        <v>1</v>
      </c>
    </row>
    <row r="190" s="21" customFormat="1" ht="36" spans="1:7">
      <c r="A190" s="15">
        <v>11</v>
      </c>
      <c r="B190" s="15">
        <v>2153</v>
      </c>
      <c r="C190" s="15"/>
      <c r="D190" s="53" t="s">
        <v>1404</v>
      </c>
      <c r="E190" s="10" t="s">
        <v>1405</v>
      </c>
      <c r="F190" s="11" t="s">
        <v>12</v>
      </c>
      <c r="G190" s="11">
        <v>19</v>
      </c>
    </row>
    <row r="191" s="21" customFormat="1" ht="21" customHeight="1" spans="1:7">
      <c r="A191" s="15">
        <v>12</v>
      </c>
      <c r="B191" s="15">
        <v>2153</v>
      </c>
      <c r="C191" s="15"/>
      <c r="D191" s="53" t="s">
        <v>1406</v>
      </c>
      <c r="E191" s="10" t="s">
        <v>1407</v>
      </c>
      <c r="F191" s="11" t="s">
        <v>12</v>
      </c>
      <c r="G191" s="11">
        <v>200</v>
      </c>
    </row>
    <row r="192" s="21" customFormat="1" ht="21.5" customHeight="1" spans="1:7">
      <c r="A192" s="15"/>
      <c r="B192" s="15">
        <v>2153</v>
      </c>
      <c r="C192" s="15"/>
      <c r="D192" s="53" t="s">
        <v>1408</v>
      </c>
      <c r="E192" s="10" t="s">
        <v>1409</v>
      </c>
      <c r="F192" s="11" t="s">
        <v>23</v>
      </c>
      <c r="G192" s="11">
        <v>2</v>
      </c>
    </row>
    <row r="193" s="21" customFormat="1" ht="21.5" customHeight="1" spans="1:7">
      <c r="A193" s="15"/>
      <c r="B193" s="15">
        <v>2153</v>
      </c>
      <c r="C193" s="15"/>
      <c r="D193" s="53" t="s">
        <v>1410</v>
      </c>
      <c r="E193" s="10" t="s">
        <v>1411</v>
      </c>
      <c r="F193" s="11" t="s">
        <v>23</v>
      </c>
      <c r="G193" s="11">
        <v>20</v>
      </c>
    </row>
    <row r="194" s="21" customFormat="1" ht="21.5" customHeight="1" spans="1:7">
      <c r="A194" s="15">
        <v>13</v>
      </c>
      <c r="B194" s="15">
        <v>2153</v>
      </c>
      <c r="C194" s="15"/>
      <c r="D194" s="53" t="s">
        <v>1304</v>
      </c>
      <c r="E194" s="10"/>
      <c r="F194" s="11"/>
      <c r="G194" s="11"/>
    </row>
    <row r="195" s="21" customFormat="1" ht="21.5" customHeight="1" spans="1:7">
      <c r="A195" s="15">
        <v>13.1</v>
      </c>
      <c r="B195" s="15">
        <v>2153</v>
      </c>
      <c r="C195" s="15" t="s">
        <v>865</v>
      </c>
      <c r="D195" s="53" t="s">
        <v>1412</v>
      </c>
      <c r="E195" s="10" t="s">
        <v>1413</v>
      </c>
      <c r="F195" s="11" t="s">
        <v>23</v>
      </c>
      <c r="G195" s="11">
        <v>1</v>
      </c>
    </row>
    <row r="196" s="21" customFormat="1" ht="21.5" customHeight="1" spans="1:7">
      <c r="A196" s="15">
        <v>13.2</v>
      </c>
      <c r="B196" s="15">
        <v>2153</v>
      </c>
      <c r="C196" s="15" t="s">
        <v>844</v>
      </c>
      <c r="D196" s="52" t="s">
        <v>1414</v>
      </c>
      <c r="E196" s="46" t="s">
        <v>1415</v>
      </c>
      <c r="F196" s="42" t="s">
        <v>23</v>
      </c>
      <c r="G196" s="42">
        <v>1</v>
      </c>
    </row>
    <row r="197" s="21" customFormat="1" ht="21.5" customHeight="1" spans="1:7">
      <c r="A197" s="15">
        <v>13.3</v>
      </c>
      <c r="B197" s="15">
        <v>2153</v>
      </c>
      <c r="C197" s="15"/>
      <c r="D197" s="52" t="s">
        <v>1416</v>
      </c>
      <c r="E197" s="46" t="s">
        <v>1417</v>
      </c>
      <c r="F197" s="42" t="s">
        <v>23</v>
      </c>
      <c r="G197" s="42">
        <v>1</v>
      </c>
    </row>
    <row r="198" s="21" customFormat="1" ht="21.5" customHeight="1" spans="1:7">
      <c r="A198" s="15">
        <v>13.4</v>
      </c>
      <c r="B198" s="15">
        <v>2153</v>
      </c>
      <c r="C198" s="15" t="s">
        <v>839</v>
      </c>
      <c r="D198" s="52" t="s">
        <v>839</v>
      </c>
      <c r="E198" s="46" t="s">
        <v>1312</v>
      </c>
      <c r="F198" s="42" t="s">
        <v>1313</v>
      </c>
      <c r="G198" s="42">
        <v>10</v>
      </c>
    </row>
    <row r="199" s="21" customFormat="1" ht="21.5" customHeight="1" spans="1:7">
      <c r="A199" s="15">
        <v>13.5</v>
      </c>
      <c r="B199" s="15">
        <v>2153</v>
      </c>
      <c r="C199" s="15" t="s">
        <v>842</v>
      </c>
      <c r="D199" s="52" t="s">
        <v>1314</v>
      </c>
      <c r="E199" s="46" t="s">
        <v>1315</v>
      </c>
      <c r="F199" s="42" t="s">
        <v>1316</v>
      </c>
      <c r="G199" s="42">
        <v>274</v>
      </c>
    </row>
    <row r="200" s="21" customFormat="1" ht="21.5" customHeight="1" spans="1:7">
      <c r="A200" s="15"/>
      <c r="B200" s="15"/>
      <c r="C200" s="15"/>
      <c r="D200" s="52"/>
      <c r="E200" s="46"/>
      <c r="F200" s="42"/>
      <c r="G200" s="42"/>
    </row>
    <row r="201" s="21" customFormat="1" ht="21.5" customHeight="1" spans="1:7">
      <c r="A201" s="12"/>
      <c r="B201" s="12"/>
      <c r="C201" s="12"/>
      <c r="D201" s="54" t="s">
        <v>34</v>
      </c>
      <c r="E201" s="13"/>
      <c r="F201" s="14"/>
      <c r="G201" s="14"/>
    </row>
    <row r="202" s="34" customFormat="1" ht="21.5" customHeight="1" spans="1:7">
      <c r="A202" s="3" t="s">
        <v>1385</v>
      </c>
      <c r="B202" s="3"/>
      <c r="C202" s="3"/>
      <c r="D202" s="59" t="s">
        <v>1418</v>
      </c>
      <c r="E202" s="10"/>
      <c r="F202" s="11"/>
      <c r="G202" s="11"/>
    </row>
    <row r="203" s="34" customFormat="1" ht="21.5" customHeight="1" spans="1:7">
      <c r="A203" s="3">
        <v>1</v>
      </c>
      <c r="B203" s="3">
        <v>2123</v>
      </c>
      <c r="C203" s="3"/>
      <c r="D203" s="53" t="s">
        <v>1419</v>
      </c>
      <c r="E203" s="10" t="s">
        <v>1420</v>
      </c>
      <c r="F203" s="11" t="s">
        <v>23</v>
      </c>
      <c r="G203" s="11">
        <v>1</v>
      </c>
    </row>
    <row r="204" s="34" customFormat="1" ht="21.5" customHeight="1" spans="1:7">
      <c r="A204" s="3">
        <v>2</v>
      </c>
      <c r="B204" s="3">
        <v>2123</v>
      </c>
      <c r="C204" s="3" t="s">
        <v>844</v>
      </c>
      <c r="D204" s="53" t="s">
        <v>1414</v>
      </c>
      <c r="E204" s="10" t="s">
        <v>1421</v>
      </c>
      <c r="F204" s="11" t="s">
        <v>23</v>
      </c>
      <c r="G204" s="11">
        <v>1</v>
      </c>
    </row>
    <row r="205" s="34" customFormat="1" ht="21.5" customHeight="1" spans="1:7">
      <c r="A205" s="3"/>
      <c r="B205" s="3"/>
      <c r="C205" s="3"/>
      <c r="D205" s="53"/>
      <c r="E205" s="10"/>
      <c r="F205" s="11"/>
      <c r="G205" s="11"/>
    </row>
    <row r="206" s="21" customFormat="1" ht="21.5" customHeight="1" spans="1:7">
      <c r="A206" s="12"/>
      <c r="B206" s="12"/>
      <c r="C206" s="12"/>
      <c r="D206" s="54" t="s">
        <v>34</v>
      </c>
      <c r="E206" s="13"/>
      <c r="F206" s="14"/>
      <c r="G206" s="14"/>
    </row>
    <row r="207" s="21" customFormat="1" ht="21.5" customHeight="1" spans="1:7">
      <c r="A207" s="12"/>
      <c r="B207" s="12"/>
      <c r="C207" s="12"/>
      <c r="D207" s="54" t="s">
        <v>661</v>
      </c>
      <c r="E207" s="13"/>
      <c r="F207" s="14"/>
      <c r="G207" s="14"/>
    </row>
  </sheetData>
  <autoFilter xmlns:etc="http://www.wps.cn/officeDocument/2017/etCustomData" ref="A3:G207" etc:filterBottomFollowUsedRange="0">
    <extLst/>
  </autoFilter>
  <mergeCells count="5">
    <mergeCell ref="A1:A2"/>
    <mergeCell ref="D1:D2"/>
    <mergeCell ref="E1:E2"/>
    <mergeCell ref="F1:F2"/>
    <mergeCell ref="G1:G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165"/>
  <sheetViews>
    <sheetView zoomScale="85" zoomScaleNormal="85" workbookViewId="0">
      <pane xSplit="4" ySplit="3" topLeftCell="E150" activePane="bottomRight" state="frozen"/>
      <selection/>
      <selection pane="topRight"/>
      <selection pane="bottomLeft"/>
      <selection pane="bottomRight" activeCell="A1" sqref="$A1:$XFD1"/>
    </sheetView>
  </sheetViews>
  <sheetFormatPr defaultColWidth="8.8" defaultRowHeight="12" outlineLevelCol="6"/>
  <cols>
    <col min="1" max="3" width="8.8" style="2"/>
    <col min="4" max="4" width="22.6" style="2" customWidth="1"/>
    <col min="5" max="5" width="34.8" style="2" customWidth="1"/>
    <col min="6" max="6" width="13" style="2" customWidth="1"/>
    <col min="7" max="7" width="9.6" style="2" customWidth="1"/>
    <col min="8" max="16384" width="8.8" style="2"/>
  </cols>
  <sheetData>
    <row r="1" ht="22" customHeight="1" spans="1:7">
      <c r="A1" s="15" t="s">
        <v>0</v>
      </c>
      <c r="B1" s="15"/>
      <c r="C1" s="15"/>
      <c r="D1" s="15" t="s">
        <v>3</v>
      </c>
      <c r="E1" s="15" t="s">
        <v>4</v>
      </c>
      <c r="F1" s="15" t="s">
        <v>5</v>
      </c>
      <c r="G1" s="15" t="s">
        <v>6</v>
      </c>
    </row>
    <row r="2" ht="22" customHeight="1" spans="1:7">
      <c r="A2" s="15"/>
      <c r="B2" s="15"/>
      <c r="C2" s="15"/>
      <c r="D2" s="15"/>
      <c r="E2" s="15"/>
      <c r="F2" s="15"/>
      <c r="G2" s="15"/>
    </row>
    <row r="3" ht="22" customHeight="1" spans="1:7">
      <c r="A3" s="15"/>
      <c r="B3" s="15"/>
      <c r="C3" s="15"/>
      <c r="D3" s="15"/>
      <c r="E3" s="15"/>
      <c r="F3" s="15"/>
      <c r="G3" s="15"/>
    </row>
    <row r="4" s="21" customFormat="1" ht="21.5" customHeight="1" spans="1:7">
      <c r="A4" s="15" t="s">
        <v>7</v>
      </c>
      <c r="B4" s="44">
        <v>2102</v>
      </c>
      <c r="C4" s="44"/>
      <c r="D4" s="51" t="s">
        <v>1422</v>
      </c>
      <c r="E4" s="46"/>
      <c r="F4" s="42"/>
      <c r="G4" s="42"/>
    </row>
    <row r="5" s="21" customFormat="1" ht="21.5" customHeight="1" spans="1:7">
      <c r="A5" s="15"/>
      <c r="B5" s="15">
        <v>2102</v>
      </c>
      <c r="C5" s="15"/>
      <c r="D5" s="52" t="s">
        <v>1423</v>
      </c>
      <c r="E5" s="46"/>
      <c r="F5" s="42"/>
      <c r="G5" s="42"/>
    </row>
    <row r="6" s="21" customFormat="1" ht="21.5" customHeight="1" spans="1:7">
      <c r="A6" s="15">
        <v>1</v>
      </c>
      <c r="B6" s="15">
        <v>2102</v>
      </c>
      <c r="C6" s="15"/>
      <c r="D6" s="52" t="s">
        <v>1424</v>
      </c>
      <c r="E6" s="46" t="s">
        <v>1425</v>
      </c>
      <c r="F6" s="42" t="s">
        <v>12</v>
      </c>
      <c r="G6" s="42">
        <v>16</v>
      </c>
    </row>
    <row r="7" s="21" customFormat="1" ht="21.5" customHeight="1" spans="1:7">
      <c r="A7" s="15">
        <v>2</v>
      </c>
      <c r="B7" s="15">
        <v>2102</v>
      </c>
      <c r="C7" s="15"/>
      <c r="D7" s="52" t="s">
        <v>1424</v>
      </c>
      <c r="E7" s="46" t="s">
        <v>1426</v>
      </c>
      <c r="F7" s="42" t="s">
        <v>12</v>
      </c>
      <c r="G7" s="42">
        <v>0</v>
      </c>
    </row>
    <row r="8" s="21" customFormat="1" ht="21.5" customHeight="1" spans="1:7">
      <c r="A8" s="15">
        <v>3</v>
      </c>
      <c r="B8" s="15">
        <v>2102</v>
      </c>
      <c r="C8" s="15"/>
      <c r="D8" s="52" t="s">
        <v>1427</v>
      </c>
      <c r="E8" s="46" t="s">
        <v>1428</v>
      </c>
      <c r="F8" s="42" t="s">
        <v>12</v>
      </c>
      <c r="G8" s="42">
        <v>16</v>
      </c>
    </row>
    <row r="9" s="21" customFormat="1" ht="21.5" customHeight="1" spans="1:7">
      <c r="A9" s="15">
        <v>4</v>
      </c>
      <c r="B9" s="15">
        <v>2102</v>
      </c>
      <c r="C9" s="15"/>
      <c r="D9" s="52" t="s">
        <v>1427</v>
      </c>
      <c r="E9" s="46" t="s">
        <v>1429</v>
      </c>
      <c r="F9" s="42" t="s">
        <v>12</v>
      </c>
      <c r="G9" s="42">
        <v>0</v>
      </c>
    </row>
    <row r="10" s="21" customFormat="1" ht="21.5" customHeight="1" spans="1:7">
      <c r="A10" s="15">
        <v>5</v>
      </c>
      <c r="B10" s="15">
        <v>2102</v>
      </c>
      <c r="C10" s="15"/>
      <c r="D10" s="52" t="s">
        <v>1430</v>
      </c>
      <c r="E10" s="46" t="s">
        <v>1431</v>
      </c>
      <c r="F10" s="42" t="s">
        <v>12</v>
      </c>
      <c r="G10" s="42">
        <v>1</v>
      </c>
    </row>
    <row r="11" s="21" customFormat="1" ht="21.5" customHeight="1" spans="1:7">
      <c r="A11" s="15">
        <v>6</v>
      </c>
      <c r="B11" s="15">
        <v>2102</v>
      </c>
      <c r="C11" s="15"/>
      <c r="D11" s="52" t="s">
        <v>1430</v>
      </c>
      <c r="E11" s="46" t="s">
        <v>1432</v>
      </c>
      <c r="F11" s="42" t="s">
        <v>12</v>
      </c>
      <c r="G11" s="42">
        <v>7</v>
      </c>
    </row>
    <row r="12" s="21" customFormat="1" ht="21.5" customHeight="1" spans="1:7">
      <c r="A12" s="15">
        <v>7</v>
      </c>
      <c r="B12" s="15">
        <v>2102</v>
      </c>
      <c r="C12" s="15"/>
      <c r="D12" s="52" t="s">
        <v>1430</v>
      </c>
      <c r="E12" s="46" t="s">
        <v>1433</v>
      </c>
      <c r="F12" s="42" t="s">
        <v>12</v>
      </c>
      <c r="G12" s="42">
        <v>10</v>
      </c>
    </row>
    <row r="13" s="21" customFormat="1" ht="21.5" customHeight="1" spans="1:7">
      <c r="A13" s="15">
        <v>9</v>
      </c>
      <c r="B13" s="15">
        <v>2102</v>
      </c>
      <c r="C13" s="15"/>
      <c r="D13" s="53" t="s">
        <v>1434</v>
      </c>
      <c r="E13" s="10" t="s">
        <v>1435</v>
      </c>
      <c r="F13" s="42" t="s">
        <v>12</v>
      </c>
      <c r="G13" s="42">
        <v>2</v>
      </c>
    </row>
    <row r="14" s="21" customFormat="1" ht="21.5" customHeight="1" spans="1:7">
      <c r="A14" s="15">
        <v>10</v>
      </c>
      <c r="B14" s="15">
        <v>2102</v>
      </c>
      <c r="C14" s="15"/>
      <c r="D14" s="53" t="s">
        <v>1434</v>
      </c>
      <c r="E14" s="10" t="s">
        <v>1436</v>
      </c>
      <c r="F14" s="42" t="s">
        <v>12</v>
      </c>
      <c r="G14" s="42">
        <v>1</v>
      </c>
    </row>
    <row r="15" s="21" customFormat="1" ht="21.5" customHeight="1" spans="1:7">
      <c r="A15" s="15">
        <v>11</v>
      </c>
      <c r="B15" s="15">
        <v>2102</v>
      </c>
      <c r="C15" s="15"/>
      <c r="D15" s="53" t="s">
        <v>1434</v>
      </c>
      <c r="E15" s="10" t="s">
        <v>1437</v>
      </c>
      <c r="F15" s="42" t="s">
        <v>12</v>
      </c>
      <c r="G15" s="42">
        <v>1</v>
      </c>
    </row>
    <row r="16" s="21" customFormat="1" ht="21.5" customHeight="1" spans="1:7">
      <c r="A16" s="15">
        <v>12</v>
      </c>
      <c r="B16" s="15">
        <v>2102</v>
      </c>
      <c r="C16" s="15"/>
      <c r="D16" s="53" t="s">
        <v>1434</v>
      </c>
      <c r="E16" s="10" t="s">
        <v>1438</v>
      </c>
      <c r="F16" s="42" t="s">
        <v>12</v>
      </c>
      <c r="G16" s="42">
        <v>9</v>
      </c>
    </row>
    <row r="17" s="21" customFormat="1" ht="21.5" customHeight="1" spans="1:7">
      <c r="A17" s="15">
        <v>13</v>
      </c>
      <c r="B17" s="15">
        <v>2102</v>
      </c>
      <c r="C17" s="15"/>
      <c r="D17" s="53" t="s">
        <v>1434</v>
      </c>
      <c r="E17" s="10" t="s">
        <v>1439</v>
      </c>
      <c r="F17" s="42" t="s">
        <v>12</v>
      </c>
      <c r="G17" s="42">
        <v>18</v>
      </c>
    </row>
    <row r="18" s="21" customFormat="1" ht="21.5" customHeight="1" spans="1:7">
      <c r="A18" s="15">
        <v>14</v>
      </c>
      <c r="B18" s="15">
        <v>2102</v>
      </c>
      <c r="C18" s="15"/>
      <c r="D18" s="53" t="s">
        <v>1440</v>
      </c>
      <c r="E18" s="10" t="s">
        <v>1441</v>
      </c>
      <c r="F18" s="42" t="s">
        <v>26</v>
      </c>
      <c r="G18" s="42">
        <v>2</v>
      </c>
    </row>
    <row r="19" s="21" customFormat="1" ht="21.5" customHeight="1" spans="1:7">
      <c r="A19" s="15">
        <v>15</v>
      </c>
      <c r="B19" s="15">
        <v>2102</v>
      </c>
      <c r="C19" s="15"/>
      <c r="D19" s="53" t="s">
        <v>1442</v>
      </c>
      <c r="E19" s="10" t="s">
        <v>1443</v>
      </c>
      <c r="F19" s="42" t="s">
        <v>26</v>
      </c>
      <c r="G19" s="42">
        <v>2</v>
      </c>
    </row>
    <row r="20" s="21" customFormat="1" ht="21.5" customHeight="1" spans="1:7">
      <c r="A20" s="15">
        <v>18</v>
      </c>
      <c r="B20" s="15">
        <v>2102</v>
      </c>
      <c r="C20" s="15"/>
      <c r="D20" s="53" t="s">
        <v>1444</v>
      </c>
      <c r="E20" s="10" t="s">
        <v>1445</v>
      </c>
      <c r="F20" s="42" t="s">
        <v>12</v>
      </c>
      <c r="G20" s="42">
        <v>2</v>
      </c>
    </row>
    <row r="21" s="21" customFormat="1" ht="21.5" customHeight="1" spans="1:7">
      <c r="A21" s="15">
        <v>19</v>
      </c>
      <c r="B21" s="15">
        <v>2102</v>
      </c>
      <c r="C21" s="15"/>
      <c r="D21" s="53" t="s">
        <v>1446</v>
      </c>
      <c r="E21" s="10" t="s">
        <v>1447</v>
      </c>
      <c r="F21" s="42" t="s">
        <v>26</v>
      </c>
      <c r="G21" s="42">
        <v>1</v>
      </c>
    </row>
    <row r="22" s="21" customFormat="1" ht="21.5" customHeight="1" spans="1:7">
      <c r="A22" s="15">
        <v>21</v>
      </c>
      <c r="B22" s="15">
        <v>2102</v>
      </c>
      <c r="C22" s="15"/>
      <c r="D22" s="52" t="s">
        <v>1448</v>
      </c>
      <c r="E22" s="46" t="s">
        <v>1449</v>
      </c>
      <c r="F22" s="42" t="s">
        <v>12</v>
      </c>
      <c r="G22" s="42">
        <v>10</v>
      </c>
    </row>
    <row r="23" s="21" customFormat="1" ht="21.5" customHeight="1" spans="1:7">
      <c r="A23" s="15">
        <v>22</v>
      </c>
      <c r="B23" s="15">
        <v>2102</v>
      </c>
      <c r="C23" s="15"/>
      <c r="D23" s="52" t="s">
        <v>1450</v>
      </c>
      <c r="E23" s="46" t="s">
        <v>1451</v>
      </c>
      <c r="F23" s="42" t="s">
        <v>26</v>
      </c>
      <c r="G23" s="42">
        <v>1</v>
      </c>
    </row>
    <row r="24" s="21" customFormat="1" ht="21.5" customHeight="1" spans="1:7">
      <c r="A24" s="15">
        <v>23</v>
      </c>
      <c r="B24" s="15">
        <v>2102</v>
      </c>
      <c r="C24" s="15"/>
      <c r="D24" s="52" t="s">
        <v>1450</v>
      </c>
      <c r="E24" s="46" t="s">
        <v>1452</v>
      </c>
      <c r="F24" s="42" t="s">
        <v>26</v>
      </c>
      <c r="G24" s="42">
        <v>2</v>
      </c>
    </row>
    <row r="25" s="21" customFormat="1" ht="21.5" customHeight="1" spans="1:7">
      <c r="A25" s="15">
        <v>24</v>
      </c>
      <c r="B25" s="15">
        <v>2102</v>
      </c>
      <c r="C25" s="15"/>
      <c r="D25" s="52" t="s">
        <v>1453</v>
      </c>
      <c r="E25" s="46" t="s">
        <v>1452</v>
      </c>
      <c r="F25" s="42" t="s">
        <v>26</v>
      </c>
      <c r="G25" s="42">
        <v>1</v>
      </c>
    </row>
    <row r="26" s="21" customFormat="1" ht="21.5" customHeight="1" spans="1:7">
      <c r="A26" s="15">
        <v>24</v>
      </c>
      <c r="B26" s="15">
        <v>2102</v>
      </c>
      <c r="C26" s="15"/>
      <c r="D26" s="52" t="s">
        <v>1453</v>
      </c>
      <c r="E26" s="46" t="s">
        <v>1454</v>
      </c>
      <c r="F26" s="42" t="s">
        <v>26</v>
      </c>
      <c r="G26" s="42">
        <v>1</v>
      </c>
    </row>
    <row r="27" s="21" customFormat="1" ht="21.5" customHeight="1" spans="1:7">
      <c r="A27" s="15">
        <v>25</v>
      </c>
      <c r="B27" s="15">
        <v>2102</v>
      </c>
      <c r="C27" s="15"/>
      <c r="D27" s="52" t="s">
        <v>1455</v>
      </c>
      <c r="E27" s="46" t="s">
        <v>1456</v>
      </c>
      <c r="F27" s="42" t="s">
        <v>23</v>
      </c>
      <c r="G27" s="42">
        <v>1</v>
      </c>
    </row>
    <row r="28" s="21" customFormat="1" ht="21.5" customHeight="1" spans="1:7">
      <c r="A28" s="15"/>
      <c r="B28" s="15">
        <v>2102</v>
      </c>
      <c r="C28" s="15"/>
      <c r="D28" s="52" t="s">
        <v>823</v>
      </c>
      <c r="E28" s="46"/>
      <c r="F28" s="42"/>
      <c r="G28" s="42"/>
    </row>
    <row r="29" s="21" customFormat="1" ht="21.5" customHeight="1" spans="1:7">
      <c r="A29" s="15">
        <v>1</v>
      </c>
      <c r="B29" s="15">
        <v>2102</v>
      </c>
      <c r="C29" s="15" t="s">
        <v>1457</v>
      </c>
      <c r="D29" s="52" t="s">
        <v>1458</v>
      </c>
      <c r="E29" s="46" t="s">
        <v>1459</v>
      </c>
      <c r="F29" s="42" t="s">
        <v>1210</v>
      </c>
      <c r="G29" s="42">
        <v>2</v>
      </c>
    </row>
    <row r="30" s="21" customFormat="1" ht="21.5" customHeight="1" spans="1:7">
      <c r="A30" s="15">
        <v>2</v>
      </c>
      <c r="B30" s="15">
        <v>2102</v>
      </c>
      <c r="C30" s="15" t="s">
        <v>1305</v>
      </c>
      <c r="D30" s="52" t="s">
        <v>1460</v>
      </c>
      <c r="E30" s="46" t="s">
        <v>1461</v>
      </c>
      <c r="F30" s="42" t="s">
        <v>1462</v>
      </c>
      <c r="G30" s="42">
        <v>63</v>
      </c>
    </row>
    <row r="31" s="21" customFormat="1" ht="21.5" customHeight="1" spans="1:7">
      <c r="A31" s="15">
        <v>2</v>
      </c>
      <c r="B31" s="15">
        <v>2102</v>
      </c>
      <c r="C31" s="15" t="s">
        <v>1305</v>
      </c>
      <c r="D31" s="52" t="s">
        <v>1460</v>
      </c>
      <c r="E31" s="46" t="s">
        <v>1463</v>
      </c>
      <c r="F31" s="42" t="s">
        <v>1462</v>
      </c>
      <c r="G31" s="42">
        <v>327</v>
      </c>
    </row>
    <row r="32" s="21" customFormat="1" ht="21.5" customHeight="1" spans="1:7">
      <c r="A32" s="15">
        <v>3</v>
      </c>
      <c r="B32" s="15">
        <v>2102</v>
      </c>
      <c r="C32" s="15" t="s">
        <v>824</v>
      </c>
      <c r="D32" s="52" t="s">
        <v>824</v>
      </c>
      <c r="E32" s="46" t="s">
        <v>1464</v>
      </c>
      <c r="F32" s="42" t="s">
        <v>1210</v>
      </c>
      <c r="G32" s="50"/>
    </row>
    <row r="33" s="21" customFormat="1" ht="21.5" customHeight="1" spans="1:7">
      <c r="A33" s="15"/>
      <c r="B33" s="15">
        <v>2102</v>
      </c>
      <c r="C33" s="15" t="s">
        <v>824</v>
      </c>
      <c r="D33" s="52" t="s">
        <v>824</v>
      </c>
      <c r="E33" s="46" t="s">
        <v>1464</v>
      </c>
      <c r="F33" s="42" t="s">
        <v>1210</v>
      </c>
      <c r="G33" s="50">
        <v>22</v>
      </c>
    </row>
    <row r="34" s="21" customFormat="1" ht="21.5" customHeight="1" spans="1:7">
      <c r="A34" s="15">
        <v>4</v>
      </c>
      <c r="B34" s="15">
        <v>2102</v>
      </c>
      <c r="C34" s="15" t="s">
        <v>681</v>
      </c>
      <c r="D34" s="52" t="s">
        <v>1465</v>
      </c>
      <c r="E34" s="46" t="s">
        <v>1466</v>
      </c>
      <c r="F34" s="42" t="s">
        <v>1210</v>
      </c>
      <c r="G34" s="50">
        <v>1.5</v>
      </c>
    </row>
    <row r="35" s="21" customFormat="1" ht="21.5" customHeight="1" spans="1:7">
      <c r="A35" s="15">
        <v>5</v>
      </c>
      <c r="B35" s="15">
        <v>2102</v>
      </c>
      <c r="C35" s="15" t="s">
        <v>865</v>
      </c>
      <c r="D35" s="52" t="s">
        <v>1467</v>
      </c>
      <c r="E35" s="46" t="s">
        <v>1468</v>
      </c>
      <c r="F35" s="42" t="s">
        <v>1210</v>
      </c>
      <c r="G35" s="50">
        <v>5</v>
      </c>
    </row>
    <row r="36" s="21" customFormat="1" ht="21.5" customHeight="1" spans="1:7">
      <c r="A36" s="15"/>
      <c r="B36" s="15">
        <v>2102</v>
      </c>
      <c r="C36" s="15"/>
      <c r="D36" s="52" t="s">
        <v>1469</v>
      </c>
      <c r="E36" s="46" t="s">
        <v>1470</v>
      </c>
      <c r="F36" s="42" t="s">
        <v>12</v>
      </c>
      <c r="G36" s="42">
        <v>1</v>
      </c>
    </row>
    <row r="37" s="21" customFormat="1" ht="21.5" customHeight="1" spans="1:7">
      <c r="A37" s="15"/>
      <c r="B37" s="15">
        <v>2102</v>
      </c>
      <c r="C37" s="15"/>
      <c r="D37" s="52" t="s">
        <v>1469</v>
      </c>
      <c r="E37" s="46" t="s">
        <v>1471</v>
      </c>
      <c r="F37" s="42" t="s">
        <v>12</v>
      </c>
      <c r="G37" s="42">
        <v>35</v>
      </c>
    </row>
    <row r="38" s="21" customFormat="1" ht="21.5" customHeight="1" spans="1:7">
      <c r="A38" s="15"/>
      <c r="B38" s="15">
        <v>2102</v>
      </c>
      <c r="C38" s="15"/>
      <c r="D38" s="52" t="s">
        <v>1469</v>
      </c>
      <c r="E38" s="46" t="s">
        <v>1472</v>
      </c>
      <c r="F38" s="42" t="s">
        <v>12</v>
      </c>
      <c r="G38" s="42">
        <v>30</v>
      </c>
    </row>
    <row r="39" s="21" customFormat="1" ht="21.5" customHeight="1" spans="1:7">
      <c r="A39" s="15"/>
      <c r="B39" s="15">
        <v>2102</v>
      </c>
      <c r="C39" s="52" t="s">
        <v>839</v>
      </c>
      <c r="D39" s="52" t="s">
        <v>839</v>
      </c>
      <c r="E39" s="46" t="s">
        <v>1473</v>
      </c>
      <c r="F39" s="42" t="s">
        <v>1313</v>
      </c>
      <c r="G39" s="50">
        <v>5</v>
      </c>
    </row>
    <row r="40" s="21" customFormat="1" ht="21.5" customHeight="1" spans="1:7">
      <c r="A40" s="15"/>
      <c r="B40" s="15">
        <v>2102</v>
      </c>
      <c r="C40" s="15" t="s">
        <v>842</v>
      </c>
      <c r="D40" s="52" t="s">
        <v>1474</v>
      </c>
      <c r="E40" s="46" t="s">
        <v>1475</v>
      </c>
      <c r="F40" s="42" t="s">
        <v>1316</v>
      </c>
      <c r="G40" s="50">
        <v>50</v>
      </c>
    </row>
    <row r="41" s="21" customFormat="1" ht="21.5" customHeight="1" spans="1:7">
      <c r="A41" s="15"/>
      <c r="B41" s="15"/>
      <c r="C41" s="15"/>
      <c r="D41" s="52"/>
      <c r="E41" s="46"/>
      <c r="F41" s="42"/>
      <c r="G41" s="50"/>
    </row>
    <row r="42" s="21" customFormat="1" ht="21.5" customHeight="1" spans="1:7">
      <c r="A42" s="15"/>
      <c r="B42" s="15"/>
      <c r="C42" s="15"/>
      <c r="D42" s="52"/>
      <c r="E42" s="46"/>
      <c r="F42" s="42"/>
      <c r="G42" s="42"/>
    </row>
    <row r="43" s="21" customFormat="1" ht="21.5" customHeight="1" spans="1:7">
      <c r="A43" s="12"/>
      <c r="B43" s="12"/>
      <c r="C43" s="12"/>
      <c r="D43" s="54" t="s">
        <v>34</v>
      </c>
      <c r="E43" s="13"/>
      <c r="F43" s="14"/>
      <c r="G43" s="14"/>
    </row>
    <row r="44" s="21" customFormat="1" ht="21.5" customHeight="1" spans="1:7">
      <c r="A44" s="15" t="s">
        <v>1476</v>
      </c>
      <c r="B44" s="15"/>
      <c r="C44" s="15"/>
      <c r="D44" s="52" t="s">
        <v>1477</v>
      </c>
      <c r="E44" s="46"/>
      <c r="F44" s="42"/>
      <c r="G44" s="42"/>
    </row>
    <row r="45" s="21" customFormat="1" ht="21.5" customHeight="1" spans="1:7">
      <c r="A45" s="15"/>
      <c r="B45" s="15"/>
      <c r="C45" s="3"/>
      <c r="D45" s="53" t="s">
        <v>1423</v>
      </c>
      <c r="E45" s="10"/>
      <c r="F45" s="11"/>
      <c r="G45" s="11"/>
    </row>
    <row r="46" s="21" customFormat="1" ht="21.5" customHeight="1" spans="1:7">
      <c r="A46" s="15">
        <v>1</v>
      </c>
      <c r="B46" s="15">
        <v>2104</v>
      </c>
      <c r="C46" s="3"/>
      <c r="D46" s="53" t="s">
        <v>1478</v>
      </c>
      <c r="E46" s="10" t="s">
        <v>1479</v>
      </c>
      <c r="F46" s="11" t="s">
        <v>26</v>
      </c>
      <c r="G46" s="11">
        <v>0</v>
      </c>
    </row>
    <row r="47" s="21" customFormat="1" ht="21.5" customHeight="1" spans="1:7">
      <c r="A47" s="15">
        <v>2</v>
      </c>
      <c r="B47" s="15">
        <v>2104</v>
      </c>
      <c r="C47" s="3"/>
      <c r="D47" s="53" t="s">
        <v>1434</v>
      </c>
      <c r="E47" s="10" t="s">
        <v>1480</v>
      </c>
      <c r="F47" s="11" t="s">
        <v>12</v>
      </c>
      <c r="G47" s="11">
        <v>2</v>
      </c>
    </row>
    <row r="48" s="21" customFormat="1" ht="21.5" customHeight="1" spans="1:7">
      <c r="A48" s="15">
        <v>3</v>
      </c>
      <c r="B48" s="15">
        <v>2104</v>
      </c>
      <c r="C48" s="3"/>
      <c r="D48" s="53" t="s">
        <v>1442</v>
      </c>
      <c r="E48" s="10" t="s">
        <v>1481</v>
      </c>
      <c r="F48" s="11" t="s">
        <v>12</v>
      </c>
      <c r="G48" s="11">
        <v>1</v>
      </c>
    </row>
    <row r="49" s="21" customFormat="1" ht="21.5" customHeight="1" spans="1:7">
      <c r="A49" s="15"/>
      <c r="B49" s="15">
        <v>2104</v>
      </c>
      <c r="C49" s="3"/>
      <c r="D49" s="53" t="s">
        <v>823</v>
      </c>
      <c r="E49" s="10"/>
      <c r="F49" s="11"/>
      <c r="G49" s="11"/>
    </row>
    <row r="50" s="21" customFormat="1" ht="21.5" customHeight="1" spans="1:7">
      <c r="A50" s="15">
        <v>1</v>
      </c>
      <c r="B50" s="15">
        <v>2104</v>
      </c>
      <c r="C50" s="3" t="s">
        <v>1457</v>
      </c>
      <c r="D50" s="53" t="s">
        <v>1458</v>
      </c>
      <c r="E50" s="10" t="s">
        <v>1482</v>
      </c>
      <c r="F50" s="11" t="s">
        <v>1210</v>
      </c>
      <c r="G50" s="11"/>
    </row>
    <row r="51" s="21" customFormat="1" ht="21.5" customHeight="1" spans="1:7">
      <c r="A51" s="15">
        <v>2</v>
      </c>
      <c r="B51" s="15">
        <v>2104</v>
      </c>
      <c r="C51" s="15" t="s">
        <v>824</v>
      </c>
      <c r="D51" s="52" t="s">
        <v>824</v>
      </c>
      <c r="E51" s="46" t="s">
        <v>1483</v>
      </c>
      <c r="F51" s="42" t="s">
        <v>1210</v>
      </c>
      <c r="G51" s="42"/>
    </row>
    <row r="52" s="21" customFormat="1" ht="21.5" customHeight="1" spans="1:7">
      <c r="A52" s="15">
        <v>3</v>
      </c>
      <c r="B52" s="15">
        <v>2104</v>
      </c>
      <c r="C52" s="15" t="s">
        <v>865</v>
      </c>
      <c r="D52" s="52" t="s">
        <v>1467</v>
      </c>
      <c r="E52" s="46" t="s">
        <v>1468</v>
      </c>
      <c r="F52" s="42" t="s">
        <v>1210</v>
      </c>
      <c r="G52" s="42"/>
    </row>
    <row r="53" s="21" customFormat="1" ht="21.5" customHeight="1" spans="1:7">
      <c r="A53" s="15"/>
      <c r="B53" s="15"/>
      <c r="C53" s="15"/>
      <c r="D53" s="52"/>
      <c r="E53" s="46"/>
      <c r="F53" s="42"/>
      <c r="G53" s="42"/>
    </row>
    <row r="54" s="21" customFormat="1" ht="21.5" customHeight="1" spans="1:7">
      <c r="A54" s="12"/>
      <c r="B54" s="12"/>
      <c r="C54" s="12"/>
      <c r="D54" s="54" t="s">
        <v>34</v>
      </c>
      <c r="E54" s="13"/>
      <c r="F54" s="14"/>
      <c r="G54" s="14"/>
    </row>
    <row r="55" s="21" customFormat="1" ht="21.5" customHeight="1" spans="1:7">
      <c r="A55" s="15" t="s">
        <v>35</v>
      </c>
      <c r="B55" s="15">
        <v>2105</v>
      </c>
      <c r="C55" s="15"/>
      <c r="D55" s="52" t="s">
        <v>1484</v>
      </c>
      <c r="E55" s="46"/>
      <c r="F55" s="42"/>
      <c r="G55" s="42"/>
    </row>
    <row r="56" s="21" customFormat="1" ht="21.5" customHeight="1" spans="1:7">
      <c r="A56" s="15" t="s">
        <v>1485</v>
      </c>
      <c r="B56" s="15">
        <v>2105</v>
      </c>
      <c r="C56" s="15"/>
      <c r="D56" s="52" t="s">
        <v>1486</v>
      </c>
      <c r="E56" s="46"/>
      <c r="F56" s="42"/>
      <c r="G56" s="42"/>
    </row>
    <row r="57" s="21" customFormat="1" ht="21.5" customHeight="1" spans="1:7">
      <c r="A57" s="15"/>
      <c r="B57" s="15">
        <v>2105</v>
      </c>
      <c r="C57" s="15"/>
      <c r="D57" s="52" t="s">
        <v>1423</v>
      </c>
      <c r="E57" s="46"/>
      <c r="F57" s="42"/>
      <c r="G57" s="42"/>
    </row>
    <row r="58" s="21" customFormat="1" ht="21.5" customHeight="1" spans="1:7">
      <c r="A58" s="15">
        <v>1</v>
      </c>
      <c r="B58" s="15">
        <v>2105</v>
      </c>
      <c r="C58" s="15"/>
      <c r="D58" s="52" t="s">
        <v>1430</v>
      </c>
      <c r="E58" s="46" t="s">
        <v>1487</v>
      </c>
      <c r="F58" s="42" t="s">
        <v>12</v>
      </c>
      <c r="G58" s="55">
        <v>3</v>
      </c>
    </row>
    <row r="59" s="21" customFormat="1" ht="21.5" customHeight="1" spans="1:7">
      <c r="A59" s="15">
        <v>2</v>
      </c>
      <c r="B59" s="15">
        <v>2105</v>
      </c>
      <c r="C59" s="15"/>
      <c r="D59" s="52" t="s">
        <v>1430</v>
      </c>
      <c r="E59" s="46" t="s">
        <v>1488</v>
      </c>
      <c r="F59" s="42" t="s">
        <v>12</v>
      </c>
      <c r="G59" s="42">
        <v>1</v>
      </c>
    </row>
    <row r="60" s="21" customFormat="1" ht="21.5" customHeight="1" spans="1:7">
      <c r="A60" s="15">
        <v>3</v>
      </c>
      <c r="B60" s="15">
        <v>2105</v>
      </c>
      <c r="C60" s="15"/>
      <c r="D60" s="52" t="s">
        <v>1430</v>
      </c>
      <c r="E60" s="46" t="s">
        <v>1489</v>
      </c>
      <c r="F60" s="42" t="s">
        <v>12</v>
      </c>
      <c r="G60" s="42">
        <v>2</v>
      </c>
    </row>
    <row r="61" s="21" customFormat="1" ht="21.5" customHeight="1" spans="1:7">
      <c r="A61" s="15">
        <v>4</v>
      </c>
      <c r="B61" s="15">
        <v>2105</v>
      </c>
      <c r="C61" s="15"/>
      <c r="D61" s="52" t="s">
        <v>1430</v>
      </c>
      <c r="E61" s="46" t="s">
        <v>1490</v>
      </c>
      <c r="F61" s="42" t="s">
        <v>12</v>
      </c>
      <c r="G61" s="42">
        <v>1</v>
      </c>
    </row>
    <row r="62" s="21" customFormat="1" ht="21.5" customHeight="1" spans="1:7">
      <c r="A62" s="15">
        <v>5</v>
      </c>
      <c r="B62" s="15">
        <v>2105</v>
      </c>
      <c r="C62" s="15"/>
      <c r="D62" s="52" t="s">
        <v>1491</v>
      </c>
      <c r="E62" s="46" t="s">
        <v>1492</v>
      </c>
      <c r="F62" s="42" t="s">
        <v>12</v>
      </c>
      <c r="G62" s="42">
        <v>1</v>
      </c>
    </row>
    <row r="63" s="21" customFormat="1" ht="21.5" customHeight="1" spans="1:7">
      <c r="A63" s="15">
        <v>6</v>
      </c>
      <c r="B63" s="15">
        <v>2105</v>
      </c>
      <c r="C63" s="15"/>
      <c r="D63" s="52" t="s">
        <v>1493</v>
      </c>
      <c r="E63" s="46" t="s">
        <v>1494</v>
      </c>
      <c r="F63" s="42" t="s">
        <v>23</v>
      </c>
      <c r="G63" s="42">
        <v>2</v>
      </c>
    </row>
    <row r="64" s="21" customFormat="1" ht="21.5" customHeight="1" spans="1:7">
      <c r="A64" s="15">
        <v>7</v>
      </c>
      <c r="B64" s="15">
        <v>2105</v>
      </c>
      <c r="C64" s="15"/>
      <c r="D64" s="52" t="s">
        <v>1495</v>
      </c>
      <c r="E64" s="46" t="s">
        <v>1496</v>
      </c>
      <c r="F64" s="42" t="s">
        <v>12</v>
      </c>
      <c r="G64" s="42">
        <v>3</v>
      </c>
    </row>
    <row r="65" s="21" customFormat="1" ht="21.5" customHeight="1" spans="1:7">
      <c r="A65" s="15">
        <v>8</v>
      </c>
      <c r="B65" s="15">
        <v>2105</v>
      </c>
      <c r="C65" s="15"/>
      <c r="D65" s="52" t="s">
        <v>1497</v>
      </c>
      <c r="E65" s="46" t="s">
        <v>1498</v>
      </c>
      <c r="F65" s="42" t="s">
        <v>12</v>
      </c>
      <c r="G65" s="42">
        <v>3</v>
      </c>
    </row>
    <row r="66" s="21" customFormat="1" ht="21.5" customHeight="1" spans="1:7">
      <c r="A66" s="15">
        <v>9</v>
      </c>
      <c r="B66" s="15">
        <v>2105</v>
      </c>
      <c r="C66" s="15"/>
      <c r="D66" s="52" t="s">
        <v>1497</v>
      </c>
      <c r="E66" s="46" t="s">
        <v>1499</v>
      </c>
      <c r="F66" s="42" t="s">
        <v>12</v>
      </c>
      <c r="G66" s="42">
        <v>1</v>
      </c>
    </row>
    <row r="67" s="21" customFormat="1" ht="21.5" customHeight="1" spans="1:7">
      <c r="A67" s="15">
        <v>10</v>
      </c>
      <c r="B67" s="15">
        <v>2105</v>
      </c>
      <c r="C67" s="15"/>
      <c r="D67" s="52" t="s">
        <v>1497</v>
      </c>
      <c r="E67" s="46" t="s">
        <v>1500</v>
      </c>
      <c r="F67" s="42" t="s">
        <v>12</v>
      </c>
      <c r="G67" s="42">
        <v>1</v>
      </c>
    </row>
    <row r="68" s="21" customFormat="1" ht="21.5" customHeight="1" spans="1:7">
      <c r="A68" s="15">
        <v>11</v>
      </c>
      <c r="B68" s="15">
        <v>2105</v>
      </c>
      <c r="C68" s="15"/>
      <c r="D68" s="52" t="s">
        <v>1497</v>
      </c>
      <c r="E68" s="46" t="s">
        <v>1501</v>
      </c>
      <c r="F68" s="42" t="s">
        <v>12</v>
      </c>
      <c r="G68" s="42">
        <v>1</v>
      </c>
    </row>
    <row r="69" s="21" customFormat="1" ht="21.5" customHeight="1" spans="1:7">
      <c r="A69" s="15">
        <v>12</v>
      </c>
      <c r="B69" s="3">
        <v>2105</v>
      </c>
      <c r="C69" s="3"/>
      <c r="D69" s="53" t="s">
        <v>1502</v>
      </c>
      <c r="E69" s="10" t="s">
        <v>1503</v>
      </c>
      <c r="F69" s="11" t="s">
        <v>12</v>
      </c>
      <c r="G69" s="11">
        <v>1</v>
      </c>
    </row>
    <row r="70" s="21" customFormat="1" ht="21.5" customHeight="1" spans="1:7">
      <c r="A70" s="15">
        <v>13</v>
      </c>
      <c r="B70" s="3">
        <v>2105</v>
      </c>
      <c r="C70" s="3"/>
      <c r="D70" s="53" t="s">
        <v>1504</v>
      </c>
      <c r="E70" s="10" t="s">
        <v>1505</v>
      </c>
      <c r="F70" s="11" t="s">
        <v>12</v>
      </c>
      <c r="G70" s="11">
        <v>4</v>
      </c>
    </row>
    <row r="71" s="21" customFormat="1" ht="21.5" customHeight="1" spans="1:7">
      <c r="A71" s="15">
        <v>14</v>
      </c>
      <c r="B71" s="3">
        <v>2105</v>
      </c>
      <c r="C71" s="3"/>
      <c r="D71" s="53" t="s">
        <v>1455</v>
      </c>
      <c r="E71" s="10" t="s">
        <v>1506</v>
      </c>
      <c r="F71" s="11" t="s">
        <v>26</v>
      </c>
      <c r="G71" s="11">
        <v>7</v>
      </c>
    </row>
    <row r="72" s="21" customFormat="1" ht="21.5" customHeight="1" spans="1:7">
      <c r="A72" s="15"/>
      <c r="B72" s="3"/>
      <c r="C72" s="3"/>
      <c r="D72" s="53" t="s">
        <v>1430</v>
      </c>
      <c r="E72" s="10" t="s">
        <v>1507</v>
      </c>
      <c r="F72" s="11" t="s">
        <v>12</v>
      </c>
      <c r="G72" s="11">
        <v>1</v>
      </c>
    </row>
    <row r="73" s="21" customFormat="1" ht="21.5" customHeight="1" spans="1:7">
      <c r="A73" s="15"/>
      <c r="B73" s="3">
        <v>2105</v>
      </c>
      <c r="C73" s="3"/>
      <c r="D73" s="53" t="s">
        <v>823</v>
      </c>
      <c r="E73" s="10"/>
      <c r="F73" s="11"/>
      <c r="G73" s="11"/>
    </row>
    <row r="74" s="21" customFormat="1" ht="21.5" customHeight="1" spans="1:7">
      <c r="A74" s="15">
        <v>1</v>
      </c>
      <c r="B74" s="3">
        <v>2105</v>
      </c>
      <c r="C74" s="3" t="s">
        <v>824</v>
      </c>
      <c r="D74" s="53" t="s">
        <v>824</v>
      </c>
      <c r="E74" s="10" t="s">
        <v>1508</v>
      </c>
      <c r="F74" s="11" t="s">
        <v>1210</v>
      </c>
      <c r="G74" s="11"/>
    </row>
    <row r="75" s="21" customFormat="1" ht="21.5" customHeight="1" spans="1:7">
      <c r="A75" s="15">
        <v>2</v>
      </c>
      <c r="B75" s="3">
        <v>2105</v>
      </c>
      <c r="C75" s="3" t="s">
        <v>681</v>
      </c>
      <c r="D75" s="53" t="s">
        <v>1465</v>
      </c>
      <c r="E75" s="10" t="s">
        <v>1466</v>
      </c>
      <c r="F75" s="11" t="s">
        <v>1210</v>
      </c>
      <c r="G75" s="11"/>
    </row>
    <row r="76" s="21" customFormat="1" ht="21.5" customHeight="1" spans="1:7">
      <c r="A76" s="15">
        <v>3</v>
      </c>
      <c r="B76" s="3">
        <v>2105</v>
      </c>
      <c r="C76" s="3" t="s">
        <v>865</v>
      </c>
      <c r="D76" s="53" t="s">
        <v>1467</v>
      </c>
      <c r="E76" s="10" t="s">
        <v>1468</v>
      </c>
      <c r="F76" s="11" t="s">
        <v>1210</v>
      </c>
      <c r="G76" s="11"/>
    </row>
    <row r="77" s="21" customFormat="1" ht="21.5" customHeight="1" spans="1:7">
      <c r="A77" s="15"/>
      <c r="B77" s="3">
        <v>2105</v>
      </c>
      <c r="C77" s="3"/>
      <c r="D77" s="53"/>
      <c r="E77" s="10"/>
      <c r="F77" s="11"/>
      <c r="G77" s="11"/>
    </row>
    <row r="78" s="21" customFormat="1" ht="21.5" customHeight="1" spans="1:7">
      <c r="A78" s="15" t="s">
        <v>1509</v>
      </c>
      <c r="B78" s="3">
        <v>2105</v>
      </c>
      <c r="C78" s="3"/>
      <c r="D78" s="53" t="s">
        <v>1510</v>
      </c>
      <c r="E78" s="10"/>
      <c r="F78" s="11"/>
      <c r="G78" s="11"/>
    </row>
    <row r="79" s="21" customFormat="1" ht="21.5" customHeight="1" spans="1:7">
      <c r="A79" s="15"/>
      <c r="B79" s="3">
        <v>2105</v>
      </c>
      <c r="C79" s="3"/>
      <c r="D79" s="53" t="s">
        <v>1423</v>
      </c>
      <c r="E79" s="10"/>
      <c r="F79" s="11"/>
      <c r="G79" s="11"/>
    </row>
    <row r="80" s="21" customFormat="1" ht="21.5" customHeight="1" spans="1:7">
      <c r="A80" s="15">
        <v>1</v>
      </c>
      <c r="B80" s="3">
        <v>2105</v>
      </c>
      <c r="C80" s="3"/>
      <c r="D80" s="53" t="s">
        <v>1469</v>
      </c>
      <c r="E80" s="10" t="s">
        <v>1511</v>
      </c>
      <c r="F80" s="11" t="s">
        <v>12</v>
      </c>
      <c r="G80" s="11">
        <v>14</v>
      </c>
    </row>
    <row r="81" s="21" customFormat="1" ht="21.5" customHeight="1" spans="1:7">
      <c r="A81" s="15">
        <v>2</v>
      </c>
      <c r="B81" s="3">
        <v>2105</v>
      </c>
      <c r="C81" s="3"/>
      <c r="D81" s="53" t="s">
        <v>1469</v>
      </c>
      <c r="E81" s="10" t="s">
        <v>1512</v>
      </c>
      <c r="F81" s="11" t="s">
        <v>12</v>
      </c>
      <c r="G81" s="11">
        <v>33</v>
      </c>
    </row>
    <row r="82" s="21" customFormat="1" ht="21.5" customHeight="1" spans="1:7">
      <c r="A82" s="15">
        <v>3</v>
      </c>
      <c r="B82" s="3">
        <v>2105</v>
      </c>
      <c r="C82" s="3"/>
      <c r="D82" s="53" t="s">
        <v>1442</v>
      </c>
      <c r="E82" s="10" t="s">
        <v>1513</v>
      </c>
      <c r="F82" s="11" t="s">
        <v>12</v>
      </c>
      <c r="G82" s="11">
        <v>4</v>
      </c>
    </row>
    <row r="83" s="21" customFormat="1" ht="21.5" customHeight="1" spans="1:7">
      <c r="A83" s="15">
        <v>4</v>
      </c>
      <c r="B83" s="3">
        <v>2105</v>
      </c>
      <c r="C83" s="3"/>
      <c r="D83" s="53" t="s">
        <v>1514</v>
      </c>
      <c r="E83" s="10" t="s">
        <v>1515</v>
      </c>
      <c r="F83" s="11" t="s">
        <v>12</v>
      </c>
      <c r="G83" s="11">
        <v>2</v>
      </c>
    </row>
    <row r="84" s="21" customFormat="1" ht="21.5" customHeight="1" spans="1:7">
      <c r="A84" s="15"/>
      <c r="B84" s="3">
        <v>2105</v>
      </c>
      <c r="C84" s="3"/>
      <c r="D84" s="53" t="s">
        <v>823</v>
      </c>
      <c r="E84" s="10"/>
      <c r="F84" s="11"/>
      <c r="G84" s="11"/>
    </row>
    <row r="85" s="21" customFormat="1" ht="21.5" customHeight="1" spans="1:7">
      <c r="A85" s="15">
        <v>1</v>
      </c>
      <c r="B85" s="3">
        <v>2105</v>
      </c>
      <c r="C85" s="3" t="s">
        <v>824</v>
      </c>
      <c r="D85" s="53" t="s">
        <v>824</v>
      </c>
      <c r="E85" s="10" t="s">
        <v>1508</v>
      </c>
      <c r="F85" s="11" t="s">
        <v>1210</v>
      </c>
      <c r="G85" s="11"/>
    </row>
    <row r="86" s="21" customFormat="1" ht="21.5" customHeight="1" spans="1:7">
      <c r="A86" s="15">
        <v>2</v>
      </c>
      <c r="B86" s="3">
        <v>2105</v>
      </c>
      <c r="C86" s="3" t="s">
        <v>865</v>
      </c>
      <c r="D86" s="53" t="s">
        <v>1467</v>
      </c>
      <c r="E86" s="10" t="s">
        <v>1468</v>
      </c>
      <c r="F86" s="11" t="s">
        <v>1210</v>
      </c>
      <c r="G86" s="11"/>
    </row>
    <row r="87" s="21" customFormat="1" ht="21.5" customHeight="1" spans="1:7">
      <c r="A87" s="15"/>
      <c r="B87" s="15">
        <v>2105</v>
      </c>
      <c r="C87" s="15"/>
      <c r="D87" s="52"/>
      <c r="E87" s="46"/>
      <c r="F87" s="42"/>
      <c r="G87" s="42"/>
    </row>
    <row r="88" s="21" customFormat="1" ht="21.5" customHeight="1" spans="1:7">
      <c r="A88" s="15" t="s">
        <v>1516</v>
      </c>
      <c r="B88" s="15">
        <v>2105</v>
      </c>
      <c r="C88" s="15"/>
      <c r="D88" s="52" t="s">
        <v>1517</v>
      </c>
      <c r="E88" s="46"/>
      <c r="F88" s="42"/>
      <c r="G88" s="42"/>
    </row>
    <row r="89" s="21" customFormat="1" ht="21.5" customHeight="1" spans="1:7">
      <c r="A89" s="15"/>
      <c r="B89" s="15">
        <v>2105</v>
      </c>
      <c r="C89" s="15"/>
      <c r="D89" s="52" t="s">
        <v>823</v>
      </c>
      <c r="E89" s="46"/>
      <c r="F89" s="42"/>
      <c r="G89" s="42"/>
    </row>
    <row r="90" s="21" customFormat="1" ht="21.5" customHeight="1" spans="1:7">
      <c r="A90" s="15">
        <v>1</v>
      </c>
      <c r="B90" s="15">
        <v>2105</v>
      </c>
      <c r="C90" s="15" t="s">
        <v>1457</v>
      </c>
      <c r="D90" s="52" t="s">
        <v>1458</v>
      </c>
      <c r="E90" s="46" t="s">
        <v>1518</v>
      </c>
      <c r="F90" s="42" t="s">
        <v>1210</v>
      </c>
      <c r="G90" s="42"/>
    </row>
    <row r="91" s="21" customFormat="1" ht="21.5" customHeight="1" spans="1:7">
      <c r="A91" s="15">
        <v>2</v>
      </c>
      <c r="B91" s="15">
        <v>2105</v>
      </c>
      <c r="C91" s="15" t="s">
        <v>824</v>
      </c>
      <c r="D91" s="52" t="s">
        <v>824</v>
      </c>
      <c r="E91" s="46" t="s">
        <v>1519</v>
      </c>
      <c r="F91" s="42" t="s">
        <v>1210</v>
      </c>
      <c r="G91" s="42"/>
    </row>
    <row r="92" s="21" customFormat="1" ht="21.5" customHeight="1" spans="1:7">
      <c r="A92" s="15">
        <v>3</v>
      </c>
      <c r="B92" s="15">
        <v>2105</v>
      </c>
      <c r="C92" s="15" t="s">
        <v>865</v>
      </c>
      <c r="D92" s="52" t="s">
        <v>1467</v>
      </c>
      <c r="E92" s="46" t="s">
        <v>1468</v>
      </c>
      <c r="F92" s="42" t="s">
        <v>1210</v>
      </c>
      <c r="G92" s="42"/>
    </row>
    <row r="93" s="21" customFormat="1" ht="21.5" customHeight="1" spans="1:7">
      <c r="A93" s="15"/>
      <c r="B93" s="15">
        <v>2105</v>
      </c>
      <c r="C93" s="15"/>
      <c r="D93" s="52"/>
      <c r="E93" s="46"/>
      <c r="F93" s="42"/>
      <c r="G93" s="42"/>
    </row>
    <row r="94" s="21" customFormat="1" ht="21.5" customHeight="1" spans="1:7">
      <c r="A94" s="15" t="s">
        <v>1520</v>
      </c>
      <c r="B94" s="15">
        <v>2105</v>
      </c>
      <c r="C94" s="3"/>
      <c r="D94" s="53" t="s">
        <v>444</v>
      </c>
      <c r="E94" s="10"/>
      <c r="F94" s="11"/>
      <c r="G94" s="11"/>
    </row>
    <row r="95" s="21" customFormat="1" ht="21.5" customHeight="1" spans="1:7">
      <c r="A95" s="15"/>
      <c r="B95" s="15">
        <v>2105</v>
      </c>
      <c r="C95" s="3"/>
      <c r="D95" s="53" t="s">
        <v>1423</v>
      </c>
      <c r="E95" s="10"/>
      <c r="F95" s="11"/>
      <c r="G95" s="11"/>
    </row>
    <row r="96" s="21" customFormat="1" ht="21.5" customHeight="1" spans="1:7">
      <c r="A96" s="15">
        <v>1</v>
      </c>
      <c r="B96" s="15">
        <v>2105</v>
      </c>
      <c r="C96" s="3"/>
      <c r="D96" s="53" t="s">
        <v>1434</v>
      </c>
      <c r="E96" s="10" t="s">
        <v>1521</v>
      </c>
      <c r="F96" s="11" t="s">
        <v>26</v>
      </c>
      <c r="G96" s="11">
        <v>4</v>
      </c>
    </row>
    <row r="97" s="21" customFormat="1" ht="21.5" customHeight="1" spans="1:7">
      <c r="A97" s="15"/>
      <c r="B97" s="15">
        <v>2105</v>
      </c>
      <c r="C97" s="3"/>
      <c r="D97" s="53" t="s">
        <v>823</v>
      </c>
      <c r="E97" s="10"/>
      <c r="F97" s="11"/>
      <c r="G97" s="11"/>
    </row>
    <row r="98" s="21" customFormat="1" ht="21.5" customHeight="1" spans="1:7">
      <c r="A98" s="15">
        <v>1</v>
      </c>
      <c r="B98" s="15">
        <v>2105</v>
      </c>
      <c r="C98" s="3" t="s">
        <v>1457</v>
      </c>
      <c r="D98" s="53" t="s">
        <v>1458</v>
      </c>
      <c r="E98" s="10" t="s">
        <v>1482</v>
      </c>
      <c r="F98" s="11" t="s">
        <v>1210</v>
      </c>
      <c r="G98" s="11"/>
    </row>
    <row r="99" s="21" customFormat="1" ht="21.5" customHeight="1" spans="1:7">
      <c r="A99" s="15">
        <v>2</v>
      </c>
      <c r="B99" s="15">
        <v>2105</v>
      </c>
      <c r="C99" s="15" t="s">
        <v>824</v>
      </c>
      <c r="D99" s="52" t="s">
        <v>824</v>
      </c>
      <c r="E99" s="46" t="s">
        <v>1483</v>
      </c>
      <c r="F99" s="42" t="s">
        <v>1210</v>
      </c>
      <c r="G99" s="42"/>
    </row>
    <row r="100" s="21" customFormat="1" ht="21.5" customHeight="1" spans="1:7">
      <c r="A100" s="15">
        <v>3</v>
      </c>
      <c r="B100" s="15">
        <v>2105</v>
      </c>
      <c r="C100" s="15" t="s">
        <v>865</v>
      </c>
      <c r="D100" s="52" t="s">
        <v>1467</v>
      </c>
      <c r="E100" s="46" t="s">
        <v>1468</v>
      </c>
      <c r="F100" s="42" t="s">
        <v>1210</v>
      </c>
      <c r="G100" s="42"/>
    </row>
    <row r="101" s="21" customFormat="1" ht="21.5" customHeight="1" spans="1:7">
      <c r="A101" s="15"/>
      <c r="B101" s="15"/>
      <c r="C101" s="15"/>
      <c r="D101" s="52"/>
      <c r="E101" s="46"/>
      <c r="F101" s="42"/>
      <c r="G101" s="42"/>
    </row>
    <row r="102" s="21" customFormat="1" ht="21.5" customHeight="1" spans="1:7">
      <c r="A102" s="12"/>
      <c r="B102" s="12"/>
      <c r="C102" s="12"/>
      <c r="D102" s="54" t="s">
        <v>34</v>
      </c>
      <c r="E102" s="13"/>
      <c r="F102" s="14"/>
      <c r="G102" s="14"/>
    </row>
    <row r="103" s="21" customFormat="1" ht="21.5" customHeight="1" spans="1:7">
      <c r="A103" s="15" t="s">
        <v>1509</v>
      </c>
      <c r="B103" s="15">
        <v>2153</v>
      </c>
      <c r="C103" s="15"/>
      <c r="D103" s="52" t="s">
        <v>1522</v>
      </c>
      <c r="E103" s="46"/>
      <c r="F103" s="42"/>
      <c r="G103" s="42"/>
    </row>
    <row r="104" s="21" customFormat="1" ht="21.5" customHeight="1" spans="1:7">
      <c r="A104" s="15"/>
      <c r="B104" s="15">
        <v>2153</v>
      </c>
      <c r="C104" s="3"/>
      <c r="D104" s="53" t="s">
        <v>1423</v>
      </c>
      <c r="E104" s="10"/>
      <c r="F104" s="11"/>
      <c r="G104" s="11"/>
    </row>
    <row r="105" s="21" customFormat="1" ht="21.5" customHeight="1" spans="1:7">
      <c r="A105" s="15">
        <v>1</v>
      </c>
      <c r="B105" s="15">
        <v>2153</v>
      </c>
      <c r="C105" s="3"/>
      <c r="D105" s="53" t="s">
        <v>1434</v>
      </c>
      <c r="E105" s="10" t="s">
        <v>1523</v>
      </c>
      <c r="F105" s="11" t="s">
        <v>12</v>
      </c>
      <c r="G105" s="11">
        <v>1</v>
      </c>
    </row>
    <row r="106" s="21" customFormat="1" ht="21.5" customHeight="1" spans="1:7">
      <c r="A106" s="15">
        <v>2</v>
      </c>
      <c r="B106" s="15">
        <v>2153</v>
      </c>
      <c r="C106" s="3"/>
      <c r="D106" s="53" t="s">
        <v>1442</v>
      </c>
      <c r="E106" s="10" t="s">
        <v>1524</v>
      </c>
      <c r="F106" s="11" t="s">
        <v>26</v>
      </c>
      <c r="G106" s="11">
        <v>1</v>
      </c>
    </row>
    <row r="107" s="21" customFormat="1" ht="21.5" customHeight="1" spans="1:7">
      <c r="A107" s="15">
        <v>3</v>
      </c>
      <c r="B107" s="15">
        <v>2153</v>
      </c>
      <c r="C107" s="3"/>
      <c r="D107" s="53" t="s">
        <v>1434</v>
      </c>
      <c r="E107" s="10" t="s">
        <v>1525</v>
      </c>
      <c r="F107" s="11" t="s">
        <v>12</v>
      </c>
      <c r="G107" s="11">
        <v>1</v>
      </c>
    </row>
    <row r="108" s="21" customFormat="1" ht="21.5" customHeight="1" spans="1:7">
      <c r="A108" s="15">
        <v>4</v>
      </c>
      <c r="B108" s="15">
        <v>2153</v>
      </c>
      <c r="C108" s="3"/>
      <c r="D108" s="53" t="s">
        <v>1434</v>
      </c>
      <c r="E108" s="10" t="s">
        <v>1526</v>
      </c>
      <c r="F108" s="11" t="s">
        <v>12</v>
      </c>
      <c r="G108" s="11">
        <v>2</v>
      </c>
    </row>
    <row r="109" s="21" customFormat="1" ht="21.5" customHeight="1" spans="1:7">
      <c r="A109" s="15"/>
      <c r="B109" s="15">
        <v>2153</v>
      </c>
      <c r="C109" s="3"/>
      <c r="D109" s="53" t="s">
        <v>823</v>
      </c>
      <c r="E109" s="10"/>
      <c r="F109" s="11"/>
      <c r="G109" s="11"/>
    </row>
    <row r="110" s="21" customFormat="1" ht="21.5" customHeight="1" spans="1:7">
      <c r="A110" s="15">
        <v>1</v>
      </c>
      <c r="B110" s="15">
        <v>2153</v>
      </c>
      <c r="C110" s="3" t="s">
        <v>1457</v>
      </c>
      <c r="D110" s="53" t="s">
        <v>1458</v>
      </c>
      <c r="E110" s="10" t="s">
        <v>1459</v>
      </c>
      <c r="F110" s="11" t="s">
        <v>1210</v>
      </c>
      <c r="G110" s="56">
        <v>0.5</v>
      </c>
    </row>
    <row r="111" s="21" customFormat="1" ht="21.5" customHeight="1" spans="1:7">
      <c r="A111" s="15">
        <v>2</v>
      </c>
      <c r="B111" s="15">
        <v>2153</v>
      </c>
      <c r="C111" s="3" t="s">
        <v>824</v>
      </c>
      <c r="D111" s="53" t="s">
        <v>824</v>
      </c>
      <c r="E111" s="10" t="s">
        <v>1519</v>
      </c>
      <c r="F111" s="11" t="s">
        <v>1210</v>
      </c>
      <c r="G111" s="56">
        <v>4</v>
      </c>
    </row>
    <row r="112" s="21" customFormat="1" ht="21.5" customHeight="1" spans="1:7">
      <c r="A112" s="15">
        <v>3</v>
      </c>
      <c r="B112" s="15">
        <v>2153</v>
      </c>
      <c r="C112" s="3" t="s">
        <v>865</v>
      </c>
      <c r="D112" s="53" t="s">
        <v>1467</v>
      </c>
      <c r="E112" s="10" t="s">
        <v>1468</v>
      </c>
      <c r="F112" s="11" t="s">
        <v>1210</v>
      </c>
      <c r="G112" s="56">
        <v>1</v>
      </c>
    </row>
    <row r="113" s="21" customFormat="1" ht="21.5" customHeight="1" spans="1:7">
      <c r="A113" s="15">
        <v>5</v>
      </c>
      <c r="B113" s="15">
        <v>2153</v>
      </c>
      <c r="C113" s="3"/>
      <c r="D113" s="53" t="s">
        <v>1469</v>
      </c>
      <c r="E113" s="10" t="s">
        <v>1527</v>
      </c>
      <c r="F113" s="11" t="s">
        <v>12</v>
      </c>
      <c r="G113" s="11">
        <v>3</v>
      </c>
    </row>
    <row r="114" s="21" customFormat="1" ht="21.5" customHeight="1" spans="1:7">
      <c r="A114" s="15">
        <v>6</v>
      </c>
      <c r="B114" s="15">
        <v>2153</v>
      </c>
      <c r="C114" s="3"/>
      <c r="D114" s="53" t="s">
        <v>1469</v>
      </c>
      <c r="E114" s="10" t="s">
        <v>1471</v>
      </c>
      <c r="F114" s="11" t="s">
        <v>12</v>
      </c>
      <c r="G114" s="11">
        <v>2</v>
      </c>
    </row>
    <row r="115" s="21" customFormat="1" ht="21.5" customHeight="1" spans="1:7">
      <c r="A115" s="15">
        <v>7</v>
      </c>
      <c r="B115" s="15">
        <v>2153</v>
      </c>
      <c r="C115" s="3"/>
      <c r="D115" s="53" t="s">
        <v>1469</v>
      </c>
      <c r="E115" s="10" t="s">
        <v>1472</v>
      </c>
      <c r="F115" s="11" t="s">
        <v>12</v>
      </c>
      <c r="G115" s="11">
        <v>5</v>
      </c>
    </row>
    <row r="116" s="21" customFormat="1" ht="21.5" customHeight="1" spans="1:7">
      <c r="A116" s="15"/>
      <c r="B116" s="15"/>
      <c r="C116" s="3"/>
      <c r="D116" s="53"/>
      <c r="E116" s="10"/>
      <c r="F116" s="11"/>
      <c r="G116" s="11"/>
    </row>
    <row r="117" s="21" customFormat="1" ht="21.5" customHeight="1" spans="1:7">
      <c r="A117" s="12"/>
      <c r="B117" s="12"/>
      <c r="C117" s="12"/>
      <c r="D117" s="54" t="s">
        <v>34</v>
      </c>
      <c r="E117" s="13"/>
      <c r="F117" s="14"/>
      <c r="G117" s="14"/>
    </row>
    <row r="118" s="21" customFormat="1" ht="21.5" customHeight="1" spans="1:7">
      <c r="A118" s="15" t="s">
        <v>54</v>
      </c>
      <c r="B118" s="15">
        <v>2160</v>
      </c>
      <c r="C118" s="15"/>
      <c r="D118" s="52" t="s">
        <v>1528</v>
      </c>
      <c r="E118" s="46"/>
      <c r="F118" s="42"/>
      <c r="G118" s="42"/>
    </row>
    <row r="119" s="21" customFormat="1" ht="21.5" customHeight="1" spans="1:7">
      <c r="A119" s="15">
        <v>1</v>
      </c>
      <c r="B119" s="15">
        <v>2160</v>
      </c>
      <c r="C119" s="15"/>
      <c r="D119" s="52" t="s">
        <v>1529</v>
      </c>
      <c r="E119" s="46" t="s">
        <v>1530</v>
      </c>
      <c r="F119" s="42" t="s">
        <v>1531</v>
      </c>
      <c r="G119" s="42">
        <v>50</v>
      </c>
    </row>
    <row r="120" s="21" customFormat="1" ht="21.5" customHeight="1" spans="1:7">
      <c r="A120" s="15">
        <v>2</v>
      </c>
      <c r="B120" s="15">
        <v>2160</v>
      </c>
      <c r="C120" s="15"/>
      <c r="D120" s="52" t="s">
        <v>1529</v>
      </c>
      <c r="E120" s="46" t="s">
        <v>1532</v>
      </c>
      <c r="F120" s="42" t="s">
        <v>1531</v>
      </c>
      <c r="G120" s="42">
        <v>50</v>
      </c>
    </row>
    <row r="121" s="21" customFormat="1" ht="21.5" customHeight="1" spans="1:7">
      <c r="A121" s="15">
        <v>3</v>
      </c>
      <c r="B121" s="15">
        <v>2160</v>
      </c>
      <c r="C121" s="15"/>
      <c r="D121" s="52" t="s">
        <v>1533</v>
      </c>
      <c r="E121" s="46" t="s">
        <v>1534</v>
      </c>
      <c r="F121" s="42" t="s">
        <v>26</v>
      </c>
      <c r="G121" s="42">
        <v>50</v>
      </c>
    </row>
    <row r="122" s="21" customFormat="1" ht="21.5" customHeight="1" spans="1:7">
      <c r="A122" s="15">
        <v>4</v>
      </c>
      <c r="B122" s="15">
        <v>2160</v>
      </c>
      <c r="C122" s="15"/>
      <c r="D122" s="52" t="s">
        <v>1535</v>
      </c>
      <c r="E122" s="46" t="s">
        <v>1536</v>
      </c>
      <c r="F122" s="42" t="s">
        <v>26</v>
      </c>
      <c r="G122" s="42">
        <v>5</v>
      </c>
    </row>
    <row r="123" s="21" customFormat="1" ht="21.5" customHeight="1" spans="1:7">
      <c r="A123" s="15">
        <v>2</v>
      </c>
      <c r="B123" s="15">
        <v>2160</v>
      </c>
      <c r="C123" s="15"/>
      <c r="D123" s="52" t="s">
        <v>1529</v>
      </c>
      <c r="E123" s="46" t="s">
        <v>1537</v>
      </c>
      <c r="F123" s="42" t="s">
        <v>1531</v>
      </c>
      <c r="G123" s="42">
        <v>350</v>
      </c>
    </row>
    <row r="124" s="21" customFormat="1" ht="21.5" customHeight="1" spans="1:7">
      <c r="A124" s="15">
        <v>3</v>
      </c>
      <c r="B124" s="15">
        <v>2160</v>
      </c>
      <c r="C124" s="15"/>
      <c r="D124" s="52" t="s">
        <v>1533</v>
      </c>
      <c r="E124" s="46" t="s">
        <v>1538</v>
      </c>
      <c r="F124" s="42" t="s">
        <v>26</v>
      </c>
      <c r="G124" s="42">
        <v>175</v>
      </c>
    </row>
    <row r="125" s="21" customFormat="1" ht="21.5" customHeight="1" spans="1:7">
      <c r="A125" s="15"/>
      <c r="B125" s="15"/>
      <c r="C125" s="15"/>
      <c r="D125" s="52"/>
      <c r="E125" s="46"/>
      <c r="F125" s="42"/>
      <c r="G125" s="42"/>
    </row>
    <row r="126" s="21" customFormat="1" ht="21.5" customHeight="1" spans="1:7">
      <c r="A126" s="12"/>
      <c r="B126" s="12"/>
      <c r="C126" s="12"/>
      <c r="D126" s="54" t="s">
        <v>34</v>
      </c>
      <c r="E126" s="13"/>
      <c r="F126" s="14"/>
      <c r="G126" s="14"/>
    </row>
    <row r="127" s="21" customFormat="1" ht="21.5" customHeight="1" spans="1:7">
      <c r="A127" s="15" t="s">
        <v>7</v>
      </c>
      <c r="B127" s="15">
        <v>2161</v>
      </c>
      <c r="C127" s="15"/>
      <c r="D127" s="51" t="s">
        <v>1539</v>
      </c>
      <c r="E127" s="46"/>
      <c r="F127" s="42"/>
      <c r="G127" s="42"/>
    </row>
    <row r="128" s="21" customFormat="1" ht="21.5" customHeight="1" spans="1:7">
      <c r="A128" s="15" t="s">
        <v>1485</v>
      </c>
      <c r="B128" s="15">
        <v>2161</v>
      </c>
      <c r="C128" s="15"/>
      <c r="D128" s="52" t="s">
        <v>1540</v>
      </c>
      <c r="E128" s="46"/>
      <c r="F128" s="42"/>
      <c r="G128" s="42"/>
    </row>
    <row r="129" s="21" customFormat="1" ht="21.5" customHeight="1" spans="1:7">
      <c r="A129" s="15"/>
      <c r="B129" s="15">
        <v>2161</v>
      </c>
      <c r="C129" s="15"/>
      <c r="D129" s="52" t="s">
        <v>1423</v>
      </c>
      <c r="E129" s="46"/>
      <c r="F129" s="42"/>
      <c r="G129" s="42"/>
    </row>
    <row r="130" s="21" customFormat="1" ht="21.5" customHeight="1" spans="1:7">
      <c r="A130" s="15">
        <v>1</v>
      </c>
      <c r="B130" s="15">
        <v>2161</v>
      </c>
      <c r="C130" s="15"/>
      <c r="D130" s="53" t="s">
        <v>1541</v>
      </c>
      <c r="E130" s="10" t="s">
        <v>1542</v>
      </c>
      <c r="F130" s="11" t="s">
        <v>12</v>
      </c>
      <c r="G130" s="11">
        <v>1</v>
      </c>
    </row>
    <row r="131" s="21" customFormat="1" ht="21.5" customHeight="1" spans="1:7">
      <c r="A131" s="15">
        <v>2</v>
      </c>
      <c r="B131" s="15">
        <v>2161</v>
      </c>
      <c r="C131" s="15"/>
      <c r="D131" s="53" t="s">
        <v>1543</v>
      </c>
      <c r="E131" s="10" t="s">
        <v>1544</v>
      </c>
      <c r="F131" s="11" t="s">
        <v>12</v>
      </c>
      <c r="G131" s="11">
        <v>1</v>
      </c>
    </row>
    <row r="132" s="21" customFormat="1" ht="21.5" customHeight="1" spans="1:7">
      <c r="A132" s="15">
        <v>3</v>
      </c>
      <c r="B132" s="15">
        <v>2161</v>
      </c>
      <c r="C132" s="15"/>
      <c r="D132" s="53" t="s">
        <v>1450</v>
      </c>
      <c r="E132" s="10" t="s">
        <v>1545</v>
      </c>
      <c r="F132" s="11" t="s">
        <v>26</v>
      </c>
      <c r="G132" s="11">
        <v>2</v>
      </c>
    </row>
    <row r="133" s="21" customFormat="1" ht="21.5" customHeight="1" spans="1:7">
      <c r="A133" s="15">
        <v>4</v>
      </c>
      <c r="B133" s="15">
        <v>2161</v>
      </c>
      <c r="C133" s="15"/>
      <c r="D133" s="53" t="s">
        <v>1546</v>
      </c>
      <c r="E133" s="10" t="s">
        <v>1547</v>
      </c>
      <c r="F133" s="11" t="s">
        <v>26</v>
      </c>
      <c r="G133" s="11">
        <v>2</v>
      </c>
    </row>
    <row r="134" s="21" customFormat="1" ht="21.5" customHeight="1" spans="1:7">
      <c r="A134" s="15">
        <v>5</v>
      </c>
      <c r="B134" s="15">
        <v>2161</v>
      </c>
      <c r="C134" s="15"/>
      <c r="D134" s="53" t="s">
        <v>1448</v>
      </c>
      <c r="E134" s="10" t="s">
        <v>1449</v>
      </c>
      <c r="F134" s="11" t="s">
        <v>26</v>
      </c>
      <c r="G134" s="11">
        <v>4</v>
      </c>
    </row>
    <row r="135" s="21" customFormat="1" ht="21.5" customHeight="1" spans="1:7">
      <c r="A135" s="15">
        <v>6</v>
      </c>
      <c r="B135" s="15">
        <v>2161</v>
      </c>
      <c r="C135" s="15"/>
      <c r="D135" s="53" t="s">
        <v>1430</v>
      </c>
      <c r="E135" s="10" t="s">
        <v>1548</v>
      </c>
      <c r="F135" s="11" t="s">
        <v>26</v>
      </c>
      <c r="G135" s="11">
        <v>1</v>
      </c>
    </row>
    <row r="136" s="21" customFormat="1" ht="21.5" customHeight="1" spans="1:7">
      <c r="A136" s="15">
        <v>7</v>
      </c>
      <c r="B136" s="15">
        <v>2161</v>
      </c>
      <c r="C136" s="15"/>
      <c r="D136" s="53" t="s">
        <v>1430</v>
      </c>
      <c r="E136" s="10" t="s">
        <v>1431</v>
      </c>
      <c r="F136" s="11" t="s">
        <v>26</v>
      </c>
      <c r="G136" s="11">
        <v>1</v>
      </c>
    </row>
    <row r="137" s="21" customFormat="1" ht="21.5" customHeight="1" spans="1:7">
      <c r="A137" s="15">
        <v>8</v>
      </c>
      <c r="B137" s="15">
        <v>2161</v>
      </c>
      <c r="C137" s="15"/>
      <c r="D137" s="53" t="s">
        <v>1430</v>
      </c>
      <c r="E137" s="10" t="s">
        <v>1549</v>
      </c>
      <c r="F137" s="11" t="s">
        <v>26</v>
      </c>
      <c r="G137" s="11">
        <v>1</v>
      </c>
    </row>
    <row r="138" s="21" customFormat="1" ht="21.5" customHeight="1" spans="1:7">
      <c r="A138" s="15">
        <v>9</v>
      </c>
      <c r="B138" s="15">
        <v>2161</v>
      </c>
      <c r="C138" s="15"/>
      <c r="D138" s="53" t="s">
        <v>1430</v>
      </c>
      <c r="E138" s="10" t="s">
        <v>1432</v>
      </c>
      <c r="F138" s="11" t="s">
        <v>26</v>
      </c>
      <c r="G138" s="11">
        <v>3</v>
      </c>
    </row>
    <row r="139" s="21" customFormat="1" ht="21.5" customHeight="1" spans="1:7">
      <c r="A139" s="15">
        <v>10</v>
      </c>
      <c r="B139" s="15">
        <v>2161</v>
      </c>
      <c r="C139" s="15"/>
      <c r="D139" s="53" t="s">
        <v>1430</v>
      </c>
      <c r="E139" s="10" t="s">
        <v>1433</v>
      </c>
      <c r="F139" s="11" t="s">
        <v>26</v>
      </c>
      <c r="G139" s="11">
        <v>3</v>
      </c>
    </row>
    <row r="140" s="21" customFormat="1" ht="21.5" customHeight="1" spans="1:7">
      <c r="A140" s="15">
        <v>11</v>
      </c>
      <c r="B140" s="15">
        <v>2161</v>
      </c>
      <c r="C140" s="15"/>
      <c r="D140" s="53" t="s">
        <v>1550</v>
      </c>
      <c r="E140" s="10" t="s">
        <v>1551</v>
      </c>
      <c r="F140" s="11" t="s">
        <v>26</v>
      </c>
      <c r="G140" s="11">
        <v>1</v>
      </c>
    </row>
    <row r="141" s="21" customFormat="1" ht="21.5" customHeight="1" spans="1:7">
      <c r="A141" s="15">
        <v>12</v>
      </c>
      <c r="B141" s="15">
        <v>2161</v>
      </c>
      <c r="C141" s="15"/>
      <c r="D141" s="53" t="s">
        <v>1550</v>
      </c>
      <c r="E141" s="10" t="s">
        <v>1552</v>
      </c>
      <c r="F141" s="11" t="s">
        <v>26</v>
      </c>
      <c r="G141" s="11">
        <v>1</v>
      </c>
    </row>
    <row r="142" s="21" customFormat="1" ht="21.5" customHeight="1" spans="1:7">
      <c r="A142" s="15">
        <v>13</v>
      </c>
      <c r="B142" s="15">
        <v>2161</v>
      </c>
      <c r="C142" s="15"/>
      <c r="D142" s="53" t="s">
        <v>1434</v>
      </c>
      <c r="E142" s="10" t="s">
        <v>1553</v>
      </c>
      <c r="F142" s="11" t="s">
        <v>12</v>
      </c>
      <c r="G142" s="11">
        <v>1</v>
      </c>
    </row>
    <row r="143" s="21" customFormat="1" ht="21.5" customHeight="1" spans="1:7">
      <c r="A143" s="15">
        <v>14</v>
      </c>
      <c r="B143" s="15">
        <v>2161</v>
      </c>
      <c r="C143" s="15"/>
      <c r="D143" s="53" t="s">
        <v>1434</v>
      </c>
      <c r="E143" s="10" t="s">
        <v>1554</v>
      </c>
      <c r="F143" s="11" t="s">
        <v>12</v>
      </c>
      <c r="G143" s="11">
        <v>2</v>
      </c>
    </row>
    <row r="144" s="21" customFormat="1" ht="21.5" customHeight="1" spans="1:7">
      <c r="A144" s="15">
        <v>15</v>
      </c>
      <c r="B144" s="15">
        <v>2161</v>
      </c>
      <c r="C144" s="15"/>
      <c r="D144" s="53" t="s">
        <v>1434</v>
      </c>
      <c r="E144" s="10" t="s">
        <v>1525</v>
      </c>
      <c r="F144" s="11" t="s">
        <v>12</v>
      </c>
      <c r="G144" s="11">
        <v>2</v>
      </c>
    </row>
    <row r="145" s="21" customFormat="1" ht="21.5" customHeight="1" spans="1:7">
      <c r="A145" s="15">
        <v>16</v>
      </c>
      <c r="B145" s="15">
        <v>2161</v>
      </c>
      <c r="C145" s="15"/>
      <c r="D145" s="53" t="s">
        <v>1434</v>
      </c>
      <c r="E145" s="10" t="s">
        <v>1526</v>
      </c>
      <c r="F145" s="11" t="s">
        <v>12</v>
      </c>
      <c r="G145" s="11">
        <v>5</v>
      </c>
    </row>
    <row r="146" s="21" customFormat="1" ht="21.5" customHeight="1" spans="1:7">
      <c r="A146" s="15">
        <v>17</v>
      </c>
      <c r="B146" s="15">
        <v>2161</v>
      </c>
      <c r="C146" s="15"/>
      <c r="D146" s="53" t="s">
        <v>1434</v>
      </c>
      <c r="E146" s="10" t="s">
        <v>1555</v>
      </c>
      <c r="F146" s="11" t="s">
        <v>26</v>
      </c>
      <c r="G146" s="11">
        <v>1</v>
      </c>
    </row>
    <row r="147" s="21" customFormat="1" ht="21.5" customHeight="1" spans="1:7">
      <c r="A147" s="15">
        <v>23</v>
      </c>
      <c r="B147" s="15">
        <v>2161</v>
      </c>
      <c r="C147" s="15"/>
      <c r="D147" s="53" t="s">
        <v>1455</v>
      </c>
      <c r="E147" s="10" t="s">
        <v>1456</v>
      </c>
      <c r="F147" s="11" t="s">
        <v>23</v>
      </c>
      <c r="G147" s="11">
        <v>1</v>
      </c>
    </row>
    <row r="148" s="21" customFormat="1" ht="21.5" customHeight="1" spans="1:7">
      <c r="A148" s="15">
        <v>24</v>
      </c>
      <c r="B148" s="15">
        <v>2161</v>
      </c>
      <c r="C148" s="15"/>
      <c r="D148" s="53" t="s">
        <v>1455</v>
      </c>
      <c r="E148" s="10" t="s">
        <v>1506</v>
      </c>
      <c r="F148" s="11" t="s">
        <v>23</v>
      </c>
      <c r="G148" s="11">
        <v>1</v>
      </c>
    </row>
    <row r="149" s="21" customFormat="1" ht="21.5" customHeight="1" spans="1:7">
      <c r="A149" s="15">
        <v>25</v>
      </c>
      <c r="B149" s="15">
        <v>2161</v>
      </c>
      <c r="C149" s="15"/>
      <c r="D149" s="52" t="s">
        <v>1455</v>
      </c>
      <c r="E149" s="46" t="s">
        <v>1556</v>
      </c>
      <c r="F149" s="42" t="s">
        <v>23</v>
      </c>
      <c r="G149" s="42">
        <v>1</v>
      </c>
    </row>
    <row r="150" s="21" customFormat="1" ht="21.5" customHeight="1" spans="1:7">
      <c r="A150" s="15"/>
      <c r="B150" s="15">
        <v>2161</v>
      </c>
      <c r="C150" s="15"/>
      <c r="D150" s="52" t="s">
        <v>823</v>
      </c>
      <c r="E150" s="46"/>
      <c r="F150" s="42"/>
      <c r="G150" s="42"/>
    </row>
    <row r="151" s="21" customFormat="1" ht="21.5" customHeight="1" spans="1:7">
      <c r="A151" s="15">
        <v>1</v>
      </c>
      <c r="B151" s="15">
        <v>2161</v>
      </c>
      <c r="C151" s="15" t="s">
        <v>1457</v>
      </c>
      <c r="D151" s="52" t="s">
        <v>1458</v>
      </c>
      <c r="E151" s="46" t="s">
        <v>1557</v>
      </c>
      <c r="F151" s="42" t="s">
        <v>1210</v>
      </c>
      <c r="G151" s="42"/>
    </row>
    <row r="152" s="21" customFormat="1" ht="21.5" customHeight="1" spans="1:7">
      <c r="A152" s="15">
        <v>2</v>
      </c>
      <c r="B152" s="15">
        <v>2161</v>
      </c>
      <c r="C152" s="15" t="s">
        <v>1305</v>
      </c>
      <c r="D152" s="52" t="s">
        <v>1460</v>
      </c>
      <c r="E152" s="46" t="s">
        <v>1558</v>
      </c>
      <c r="F152" s="42" t="s">
        <v>1462</v>
      </c>
      <c r="G152" s="42">
        <v>50</v>
      </c>
    </row>
    <row r="153" s="21" customFormat="1" ht="21.5" customHeight="1" spans="1:7">
      <c r="A153" s="15">
        <v>3</v>
      </c>
      <c r="B153" s="15">
        <v>2161</v>
      </c>
      <c r="C153" s="15" t="s">
        <v>824</v>
      </c>
      <c r="D153" s="52" t="s">
        <v>824</v>
      </c>
      <c r="E153" s="46" t="s">
        <v>1559</v>
      </c>
      <c r="F153" s="42" t="s">
        <v>1210</v>
      </c>
      <c r="G153" s="42"/>
    </row>
    <row r="154" s="21" customFormat="1" ht="21.5" customHeight="1" spans="1:7">
      <c r="A154" s="15"/>
      <c r="B154" s="15">
        <v>2161</v>
      </c>
      <c r="C154" s="15" t="s">
        <v>824</v>
      </c>
      <c r="D154" s="52" t="s">
        <v>824</v>
      </c>
      <c r="E154" s="46" t="s">
        <v>1464</v>
      </c>
      <c r="F154" s="42" t="s">
        <v>1210</v>
      </c>
      <c r="G154" s="42"/>
    </row>
    <row r="155" s="21" customFormat="1" ht="21.5" customHeight="1" spans="1:7">
      <c r="A155" s="15">
        <v>4</v>
      </c>
      <c r="B155" s="15">
        <v>2161</v>
      </c>
      <c r="C155" s="15" t="s">
        <v>681</v>
      </c>
      <c r="D155" s="52" t="s">
        <v>1465</v>
      </c>
      <c r="E155" s="46" t="s">
        <v>1466</v>
      </c>
      <c r="F155" s="42" t="s">
        <v>1210</v>
      </c>
      <c r="G155" s="42"/>
    </row>
    <row r="156" s="21" customFormat="1" ht="21.5" customHeight="1" spans="1:7">
      <c r="A156" s="15">
        <v>5</v>
      </c>
      <c r="B156" s="15">
        <v>2161</v>
      </c>
      <c r="C156" s="15" t="s">
        <v>865</v>
      </c>
      <c r="D156" s="52" t="s">
        <v>1467</v>
      </c>
      <c r="E156" s="46" t="s">
        <v>1468</v>
      </c>
      <c r="F156" s="42" t="s">
        <v>1210</v>
      </c>
      <c r="G156" s="42"/>
    </row>
    <row r="157" s="21" customFormat="1" ht="21.5" customHeight="1" spans="1:7">
      <c r="A157" s="15">
        <v>6</v>
      </c>
      <c r="B157" s="15">
        <v>2161</v>
      </c>
      <c r="C157" s="15" t="s">
        <v>839</v>
      </c>
      <c r="D157" s="52" t="s">
        <v>839</v>
      </c>
      <c r="E157" s="46" t="s">
        <v>1473</v>
      </c>
      <c r="F157" s="42" t="s">
        <v>1313</v>
      </c>
      <c r="G157" s="50">
        <v>4</v>
      </c>
    </row>
    <row r="158" s="21" customFormat="1" ht="21.5" customHeight="1" spans="1:7">
      <c r="A158" s="15">
        <v>7</v>
      </c>
      <c r="B158" s="15">
        <v>2161</v>
      </c>
      <c r="C158" s="87" t="s">
        <v>842</v>
      </c>
      <c r="D158" s="52" t="s">
        <v>1474</v>
      </c>
      <c r="E158" s="46" t="s">
        <v>1475</v>
      </c>
      <c r="F158" s="42" t="s">
        <v>1316</v>
      </c>
      <c r="G158" s="50">
        <v>40</v>
      </c>
    </row>
    <row r="159" s="21" customFormat="1" ht="21.5" customHeight="1" spans="1:7">
      <c r="A159" s="15"/>
      <c r="B159" s="15"/>
      <c r="C159" s="15"/>
      <c r="D159" s="52" t="s">
        <v>1469</v>
      </c>
      <c r="E159" s="46" t="s">
        <v>1560</v>
      </c>
      <c r="F159" s="42" t="s">
        <v>12</v>
      </c>
      <c r="G159" s="42">
        <v>1</v>
      </c>
    </row>
    <row r="160" s="21" customFormat="1" ht="21.5" customHeight="1" spans="1:7">
      <c r="A160" s="15"/>
      <c r="B160" s="15"/>
      <c r="C160" s="15"/>
      <c r="D160" s="52" t="s">
        <v>1469</v>
      </c>
      <c r="E160" s="46" t="s">
        <v>1561</v>
      </c>
      <c r="F160" s="42" t="s">
        <v>12</v>
      </c>
      <c r="G160" s="42">
        <v>6</v>
      </c>
    </row>
    <row r="161" s="21" customFormat="1" ht="21.5" customHeight="1" spans="1:7">
      <c r="A161" s="15"/>
      <c r="B161" s="15"/>
      <c r="C161" s="15"/>
      <c r="D161" s="52" t="s">
        <v>1469</v>
      </c>
      <c r="E161" s="46" t="s">
        <v>1471</v>
      </c>
      <c r="F161" s="42" t="s">
        <v>12</v>
      </c>
      <c r="G161" s="42">
        <v>0</v>
      </c>
    </row>
    <row r="162" s="21" customFormat="1" ht="21.5" customHeight="1" spans="1:7">
      <c r="A162" s="15"/>
      <c r="B162" s="15"/>
      <c r="C162" s="15"/>
      <c r="D162" s="52" t="s">
        <v>1469</v>
      </c>
      <c r="E162" s="46" t="s">
        <v>1472</v>
      </c>
      <c r="F162" s="42" t="s">
        <v>12</v>
      </c>
      <c r="G162" s="42">
        <v>10</v>
      </c>
    </row>
    <row r="163" s="21" customFormat="1" ht="21.5" customHeight="1" spans="1:7">
      <c r="A163" s="15"/>
      <c r="B163" s="15"/>
      <c r="C163" s="15"/>
      <c r="D163" s="52"/>
      <c r="E163" s="46"/>
      <c r="F163" s="42"/>
      <c r="G163" s="42"/>
    </row>
    <row r="164" s="21" customFormat="1" ht="21.5" customHeight="1" spans="1:7">
      <c r="A164" s="12"/>
      <c r="B164" s="12"/>
      <c r="C164" s="12"/>
      <c r="D164" s="54" t="s">
        <v>34</v>
      </c>
      <c r="E164" s="13"/>
      <c r="F164" s="14"/>
      <c r="G164" s="14"/>
    </row>
    <row r="165" s="21" customFormat="1" ht="21.5" customHeight="1" spans="1:7">
      <c r="A165" s="12"/>
      <c r="B165" s="12"/>
      <c r="C165" s="12"/>
      <c r="D165" s="54" t="s">
        <v>661</v>
      </c>
      <c r="E165" s="13"/>
      <c r="F165" s="14"/>
      <c r="G165" s="14"/>
    </row>
  </sheetData>
  <autoFilter xmlns:etc="http://www.wps.cn/officeDocument/2017/etCustomData" ref="A3:G215" etc:filterBottomFollowUsedRange="0">
    <extLst/>
  </autoFilter>
  <mergeCells count="5">
    <mergeCell ref="A1:A2"/>
    <mergeCell ref="D1:D2"/>
    <mergeCell ref="E1:E2"/>
    <mergeCell ref="F1:F2"/>
    <mergeCell ref="G1:G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235"/>
  <sheetViews>
    <sheetView zoomScale="180" zoomScaleNormal="180" workbookViewId="0">
      <pane xSplit="4" ySplit="3" topLeftCell="E41" activePane="bottomRight" state="frozen"/>
      <selection/>
      <selection pane="topRight"/>
      <selection pane="bottomLeft"/>
      <selection pane="bottomRight" activeCell="A1" sqref="$A1:$XFD1"/>
    </sheetView>
  </sheetViews>
  <sheetFormatPr defaultColWidth="8.8" defaultRowHeight="12" outlineLevelCol="6"/>
  <cols>
    <col min="1" max="2" width="8.8" style="2"/>
    <col min="3" max="3" width="12" style="2" customWidth="1"/>
    <col min="4" max="4" width="22.6" style="2" customWidth="1"/>
    <col min="5" max="5" width="40.4" style="2" customWidth="1"/>
    <col min="6" max="6" width="13" style="2" customWidth="1"/>
    <col min="7" max="7" width="9.6" style="2" customWidth="1"/>
    <col min="8" max="16384" width="8.8" style="2"/>
  </cols>
  <sheetData>
    <row r="1" ht="22" customHeight="1" spans="1:7">
      <c r="A1" s="15" t="s">
        <v>0</v>
      </c>
      <c r="B1" s="16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ht="22" customHeight="1" spans="1:7">
      <c r="A2" s="15"/>
      <c r="B2" s="17"/>
      <c r="C2" s="17"/>
      <c r="D2" s="15"/>
      <c r="E2" s="15"/>
      <c r="F2" s="15"/>
      <c r="G2" s="15"/>
    </row>
    <row r="3" ht="22" customHeight="1" spans="1:7">
      <c r="A3" s="15"/>
      <c r="B3" s="15"/>
      <c r="C3" s="15"/>
      <c r="D3" s="15"/>
      <c r="E3" s="15"/>
      <c r="F3" s="15"/>
      <c r="G3" s="15"/>
    </row>
    <row r="4" s="21" customFormat="1" ht="21.5" customHeight="1" spans="1:7">
      <c r="A4" s="87" t="s">
        <v>7</v>
      </c>
      <c r="B4" s="44">
        <v>2102</v>
      </c>
      <c r="C4" s="44"/>
      <c r="D4" s="45" t="s">
        <v>1562</v>
      </c>
      <c r="E4" s="46"/>
      <c r="F4" s="42"/>
      <c r="G4" s="47"/>
    </row>
    <row r="5" s="21" customFormat="1" ht="21.5" customHeight="1" spans="1:7">
      <c r="A5" s="15"/>
      <c r="B5" s="15">
        <v>2102</v>
      </c>
      <c r="C5" s="15"/>
      <c r="D5" s="46" t="s">
        <v>1423</v>
      </c>
      <c r="E5" s="46"/>
      <c r="F5" s="42"/>
      <c r="G5" s="47"/>
    </row>
    <row r="6" s="21" customFormat="1" ht="21.5" customHeight="1" spans="1:7">
      <c r="A6" s="15">
        <v>1</v>
      </c>
      <c r="B6" s="15">
        <v>2102</v>
      </c>
      <c r="C6" s="15"/>
      <c r="D6" s="46" t="s">
        <v>1563</v>
      </c>
      <c r="E6" s="46"/>
      <c r="F6" s="42"/>
      <c r="G6" s="47"/>
    </row>
    <row r="7" s="21" customFormat="1" ht="21.5" customHeight="1" spans="1:7">
      <c r="A7" s="87" t="s">
        <v>113</v>
      </c>
      <c r="B7" s="15">
        <v>2102</v>
      </c>
      <c r="C7" s="15"/>
      <c r="D7" s="46" t="s">
        <v>1564</v>
      </c>
      <c r="E7" s="46" t="s">
        <v>1565</v>
      </c>
      <c r="F7" s="42" t="s">
        <v>23</v>
      </c>
      <c r="G7" s="47">
        <v>2</v>
      </c>
    </row>
    <row r="8" s="21" customFormat="1" ht="21.5" customHeight="1" spans="1:7">
      <c r="A8" s="87" t="s">
        <v>116</v>
      </c>
      <c r="B8" s="15">
        <v>2102</v>
      </c>
      <c r="C8" s="15"/>
      <c r="D8" s="46" t="s">
        <v>1566</v>
      </c>
      <c r="E8" s="46" t="s">
        <v>1567</v>
      </c>
      <c r="F8" s="42" t="s">
        <v>23</v>
      </c>
      <c r="G8" s="47">
        <v>6</v>
      </c>
    </row>
    <row r="9" s="21" customFormat="1" ht="21.5" customHeight="1" spans="1:7">
      <c r="A9" s="87" t="s">
        <v>119</v>
      </c>
      <c r="B9" s="15">
        <v>2102</v>
      </c>
      <c r="C9" s="15"/>
      <c r="D9" s="46" t="s">
        <v>1564</v>
      </c>
      <c r="E9" s="46" t="s">
        <v>1568</v>
      </c>
      <c r="F9" s="42" t="s">
        <v>23</v>
      </c>
      <c r="G9" s="47">
        <v>5</v>
      </c>
    </row>
    <row r="10" s="21" customFormat="1" ht="21.5" customHeight="1" spans="1:7">
      <c r="A10" s="87" t="s">
        <v>122</v>
      </c>
      <c r="B10" s="15">
        <v>2102</v>
      </c>
      <c r="C10" s="15"/>
      <c r="D10" s="46" t="s">
        <v>1566</v>
      </c>
      <c r="E10" s="46" t="s">
        <v>1569</v>
      </c>
      <c r="F10" s="42" t="s">
        <v>23</v>
      </c>
      <c r="G10" s="47">
        <v>15</v>
      </c>
    </row>
    <row r="11" s="21" customFormat="1" ht="21.5" customHeight="1" spans="1:7">
      <c r="A11" s="87" t="s">
        <v>125</v>
      </c>
      <c r="B11" s="15">
        <v>2102</v>
      </c>
      <c r="C11" s="15"/>
      <c r="D11" s="46" t="s">
        <v>1566</v>
      </c>
      <c r="E11" s="46" t="s">
        <v>1570</v>
      </c>
      <c r="F11" s="42" t="s">
        <v>23</v>
      </c>
      <c r="G11" s="47">
        <v>2</v>
      </c>
    </row>
    <row r="12" s="21" customFormat="1" ht="21.5" customHeight="1" spans="1:7">
      <c r="A12" s="87" t="s">
        <v>1571</v>
      </c>
      <c r="B12" s="15">
        <v>2102</v>
      </c>
      <c r="C12" s="15"/>
      <c r="D12" s="46" t="s">
        <v>1572</v>
      </c>
      <c r="E12" s="46" t="s">
        <v>1573</v>
      </c>
      <c r="F12" s="42" t="s">
        <v>23</v>
      </c>
      <c r="G12" s="47">
        <v>1</v>
      </c>
    </row>
    <row r="13" s="21" customFormat="1" ht="21.5" customHeight="1" spans="1:7">
      <c r="A13" s="15">
        <v>2</v>
      </c>
      <c r="B13" s="15">
        <v>2102</v>
      </c>
      <c r="C13" s="15"/>
      <c r="D13" s="46" t="s">
        <v>1574</v>
      </c>
      <c r="E13" s="46" t="s">
        <v>1575</v>
      </c>
      <c r="F13" s="42" t="s">
        <v>23</v>
      </c>
      <c r="G13" s="47">
        <v>1</v>
      </c>
    </row>
    <row r="14" s="21" customFormat="1" ht="21.5" customHeight="1" spans="1:7">
      <c r="A14" s="15">
        <v>3</v>
      </c>
      <c r="B14" s="15">
        <v>2102</v>
      </c>
      <c r="C14" s="15"/>
      <c r="D14" s="46" t="s">
        <v>1574</v>
      </c>
      <c r="E14" s="46" t="s">
        <v>1576</v>
      </c>
      <c r="F14" s="42" t="s">
        <v>23</v>
      </c>
      <c r="G14" s="47">
        <v>1</v>
      </c>
    </row>
    <row r="15" s="21" customFormat="1" ht="21.5" customHeight="1" spans="1:7">
      <c r="A15" s="15">
        <v>4</v>
      </c>
      <c r="B15" s="15">
        <v>2102</v>
      </c>
      <c r="C15" s="15"/>
      <c r="D15" s="46" t="s">
        <v>1574</v>
      </c>
      <c r="E15" s="46" t="s">
        <v>1577</v>
      </c>
      <c r="F15" s="42" t="s">
        <v>23</v>
      </c>
      <c r="G15" s="47">
        <v>5</v>
      </c>
    </row>
    <row r="16" s="21" customFormat="1" ht="21.5" customHeight="1" spans="1:7">
      <c r="A16" s="15">
        <v>5</v>
      </c>
      <c r="B16" s="15">
        <v>2102</v>
      </c>
      <c r="C16" s="15"/>
      <c r="D16" s="46" t="s">
        <v>1578</v>
      </c>
      <c r="E16" s="46"/>
      <c r="F16" s="42" t="s">
        <v>23</v>
      </c>
      <c r="G16" s="47">
        <v>1</v>
      </c>
    </row>
    <row r="17" s="21" customFormat="1" ht="21.5" customHeight="1" spans="1:7">
      <c r="A17" s="15"/>
      <c r="B17" s="15">
        <v>2102</v>
      </c>
      <c r="C17" s="15"/>
      <c r="D17" s="46" t="s">
        <v>823</v>
      </c>
      <c r="E17" s="42"/>
      <c r="F17" s="42"/>
      <c r="G17" s="47"/>
    </row>
    <row r="18" s="21" customFormat="1" ht="21.5" customHeight="1" spans="1:7">
      <c r="A18" s="15">
        <v>1</v>
      </c>
      <c r="B18" s="15">
        <v>2102</v>
      </c>
      <c r="C18" s="87" t="s">
        <v>824</v>
      </c>
      <c r="D18" s="46" t="s">
        <v>824</v>
      </c>
      <c r="E18" s="46" t="s">
        <v>1579</v>
      </c>
      <c r="F18" s="42" t="s">
        <v>23</v>
      </c>
      <c r="G18" s="47">
        <v>1</v>
      </c>
    </row>
    <row r="19" s="21" customFormat="1" ht="21.5" customHeight="1" spans="1:7">
      <c r="A19" s="15">
        <v>2</v>
      </c>
      <c r="B19" s="15">
        <v>2102</v>
      </c>
      <c r="C19" s="87" t="s">
        <v>824</v>
      </c>
      <c r="D19" s="46" t="s">
        <v>824</v>
      </c>
      <c r="E19" s="46" t="s">
        <v>1580</v>
      </c>
      <c r="F19" s="42" t="s">
        <v>23</v>
      </c>
      <c r="G19" s="47">
        <v>1</v>
      </c>
    </row>
    <row r="20" s="21" customFormat="1" ht="21.5" customHeight="1" spans="1:7">
      <c r="A20" s="15">
        <v>4</v>
      </c>
      <c r="B20" s="15">
        <v>2102</v>
      </c>
      <c r="C20" s="87" t="s">
        <v>1457</v>
      </c>
      <c r="D20" s="46" t="s">
        <v>1581</v>
      </c>
      <c r="E20" s="46" t="s">
        <v>1582</v>
      </c>
      <c r="F20" s="42" t="s">
        <v>23</v>
      </c>
      <c r="G20" s="47">
        <v>1</v>
      </c>
    </row>
    <row r="21" s="21" customFormat="1" ht="21.5" customHeight="1" spans="1:7">
      <c r="A21" s="15">
        <v>5</v>
      </c>
      <c r="B21" s="15">
        <v>2102</v>
      </c>
      <c r="C21" s="87" t="s">
        <v>865</v>
      </c>
      <c r="D21" s="46" t="s">
        <v>1583</v>
      </c>
      <c r="E21" s="46"/>
      <c r="F21" s="42" t="s">
        <v>23</v>
      </c>
      <c r="G21" s="47">
        <v>1</v>
      </c>
    </row>
    <row r="22" s="21" customFormat="1" ht="21.5" customHeight="1" spans="1:7">
      <c r="A22" s="15">
        <v>6</v>
      </c>
      <c r="B22" s="15">
        <v>2102</v>
      </c>
      <c r="C22" s="87" t="s">
        <v>839</v>
      </c>
      <c r="D22" s="46" t="s">
        <v>839</v>
      </c>
      <c r="E22" s="46" t="s">
        <v>1584</v>
      </c>
      <c r="F22" s="42" t="s">
        <v>1313</v>
      </c>
      <c r="G22" s="47">
        <v>77</v>
      </c>
    </row>
    <row r="23" s="21" customFormat="1" ht="21.5" customHeight="1" spans="1:7">
      <c r="A23" s="15">
        <v>7</v>
      </c>
      <c r="B23" s="15">
        <v>2102</v>
      </c>
      <c r="C23" s="87" t="s">
        <v>842</v>
      </c>
      <c r="D23" s="46" t="s">
        <v>1585</v>
      </c>
      <c r="E23" s="46"/>
      <c r="F23" s="42" t="s">
        <v>1316</v>
      </c>
      <c r="G23" s="47">
        <v>986</v>
      </c>
    </row>
    <row r="24" s="21" customFormat="1" ht="21.5" customHeight="1" spans="1:7">
      <c r="A24" s="15"/>
      <c r="B24" s="15"/>
      <c r="C24" s="15"/>
      <c r="D24" s="46"/>
      <c r="E24" s="46"/>
      <c r="F24" s="42"/>
      <c r="G24" s="47"/>
    </row>
    <row r="25" s="21" customFormat="1" ht="21.5" customHeight="1" spans="1:7">
      <c r="A25" s="12"/>
      <c r="B25" s="12"/>
      <c r="C25" s="12"/>
      <c r="D25" s="13" t="s">
        <v>34</v>
      </c>
      <c r="E25" s="13"/>
      <c r="F25" s="14"/>
      <c r="G25" s="48"/>
    </row>
    <row r="26" s="21" customFormat="1" ht="21.5" customHeight="1" spans="1:7">
      <c r="A26" s="87" t="s">
        <v>7</v>
      </c>
      <c r="B26" s="15">
        <v>2105</v>
      </c>
      <c r="C26" s="15"/>
      <c r="D26" s="46" t="s">
        <v>1586</v>
      </c>
      <c r="E26" s="46" t="s">
        <v>1587</v>
      </c>
      <c r="F26" s="42"/>
      <c r="G26" s="47"/>
    </row>
    <row r="27" s="21" customFormat="1" ht="21.5" customHeight="1" spans="1:7">
      <c r="A27" s="15">
        <v>1</v>
      </c>
      <c r="B27" s="15">
        <v>2105</v>
      </c>
      <c r="C27" s="15"/>
      <c r="D27" s="46" t="s">
        <v>1588</v>
      </c>
      <c r="E27" s="46" t="s">
        <v>1589</v>
      </c>
      <c r="F27" s="42" t="s">
        <v>23</v>
      </c>
      <c r="G27" s="47">
        <v>1</v>
      </c>
    </row>
    <row r="28" s="21" customFormat="1" ht="21.5" customHeight="1" spans="1:7">
      <c r="A28" s="15">
        <v>3</v>
      </c>
      <c r="B28" s="15">
        <v>2105</v>
      </c>
      <c r="C28" s="15"/>
      <c r="D28" s="46" t="s">
        <v>1590</v>
      </c>
      <c r="E28" s="46" t="s">
        <v>1591</v>
      </c>
      <c r="F28" s="42" t="s">
        <v>23</v>
      </c>
      <c r="G28" s="47">
        <v>1</v>
      </c>
    </row>
    <row r="29" s="21" customFormat="1" ht="21.5" customHeight="1" spans="1:7">
      <c r="A29" s="15">
        <v>4</v>
      </c>
      <c r="B29" s="15">
        <v>2105</v>
      </c>
      <c r="C29" s="15"/>
      <c r="D29" s="46" t="s">
        <v>1592</v>
      </c>
      <c r="E29" s="46" t="s">
        <v>1593</v>
      </c>
      <c r="F29" s="42" t="s">
        <v>23</v>
      </c>
      <c r="G29" s="47">
        <v>1</v>
      </c>
    </row>
    <row r="30" s="21" customFormat="1" ht="21.5" customHeight="1" spans="1:7">
      <c r="A30" s="15">
        <v>5</v>
      </c>
      <c r="B30" s="15">
        <v>2105</v>
      </c>
      <c r="C30" s="15"/>
      <c r="D30" s="46" t="s">
        <v>1594</v>
      </c>
      <c r="E30" s="46" t="s">
        <v>1595</v>
      </c>
      <c r="F30" s="42" t="s">
        <v>23</v>
      </c>
      <c r="G30" s="47">
        <v>1</v>
      </c>
    </row>
    <row r="31" s="21" customFormat="1" ht="21.5" customHeight="1" spans="1:7">
      <c r="A31" s="15">
        <v>6</v>
      </c>
      <c r="B31" s="15">
        <v>2105</v>
      </c>
      <c r="C31" s="15"/>
      <c r="D31" s="46" t="s">
        <v>1596</v>
      </c>
      <c r="E31" s="46" t="s">
        <v>1597</v>
      </c>
      <c r="F31" s="42" t="s">
        <v>23</v>
      </c>
      <c r="G31" s="47">
        <v>1</v>
      </c>
    </row>
    <row r="32" s="21" customFormat="1" ht="21.5" customHeight="1" spans="1:7">
      <c r="A32" s="15">
        <v>7</v>
      </c>
      <c r="B32" s="15">
        <v>2105</v>
      </c>
      <c r="C32" s="15"/>
      <c r="D32" s="10" t="s">
        <v>1598</v>
      </c>
      <c r="E32" s="10">
        <v>0</v>
      </c>
      <c r="F32" s="11" t="s">
        <v>23</v>
      </c>
      <c r="G32" s="49">
        <v>10</v>
      </c>
    </row>
    <row r="33" s="21" customFormat="1" ht="21.5" customHeight="1" spans="1:7">
      <c r="A33" s="15">
        <v>8</v>
      </c>
      <c r="B33" s="15">
        <v>2105</v>
      </c>
      <c r="C33" s="15"/>
      <c r="D33" s="10" t="s">
        <v>1599</v>
      </c>
      <c r="E33" s="10">
        <v>0</v>
      </c>
      <c r="F33" s="11" t="s">
        <v>23</v>
      </c>
      <c r="G33" s="49">
        <v>1</v>
      </c>
    </row>
    <row r="34" s="21" customFormat="1" ht="21.5" customHeight="1" spans="1:7">
      <c r="A34" s="15"/>
      <c r="B34" s="15">
        <v>2105</v>
      </c>
      <c r="C34" s="15"/>
      <c r="D34" s="10" t="s">
        <v>1600</v>
      </c>
      <c r="E34" s="10" t="s">
        <v>1601</v>
      </c>
      <c r="F34" s="11" t="s">
        <v>23</v>
      </c>
      <c r="G34" s="49">
        <v>5</v>
      </c>
    </row>
    <row r="35" s="21" customFormat="1" ht="21.5" customHeight="1" spans="1:7">
      <c r="A35" s="87" t="s">
        <v>35</v>
      </c>
      <c r="B35" s="15">
        <v>2105</v>
      </c>
      <c r="C35" s="15"/>
      <c r="D35" s="10" t="s">
        <v>1602</v>
      </c>
      <c r="E35" s="10"/>
      <c r="F35" s="11"/>
      <c r="G35" s="49"/>
    </row>
    <row r="36" s="21" customFormat="1" ht="21.5" customHeight="1" spans="1:7">
      <c r="A36" s="15">
        <v>1</v>
      </c>
      <c r="B36" s="15">
        <v>2105</v>
      </c>
      <c r="C36" s="15"/>
      <c r="D36" s="10" t="s">
        <v>1603</v>
      </c>
      <c r="E36" s="10" t="s">
        <v>1604</v>
      </c>
      <c r="F36" s="11" t="s">
        <v>23</v>
      </c>
      <c r="G36" s="49">
        <v>1</v>
      </c>
    </row>
    <row r="37" s="21" customFormat="1" ht="21.5" customHeight="1" spans="1:7">
      <c r="A37" s="15">
        <v>2</v>
      </c>
      <c r="B37" s="15">
        <v>2105</v>
      </c>
      <c r="C37" s="15"/>
      <c r="D37" s="10" t="s">
        <v>1605</v>
      </c>
      <c r="E37" s="10" t="s">
        <v>1606</v>
      </c>
      <c r="F37" s="11" t="s">
        <v>23</v>
      </c>
      <c r="G37" s="49">
        <v>2</v>
      </c>
    </row>
    <row r="38" s="21" customFormat="1" ht="21.5" customHeight="1" spans="1:7">
      <c r="A38" s="15">
        <v>3</v>
      </c>
      <c r="B38" s="15">
        <v>2105</v>
      </c>
      <c r="C38" s="15"/>
      <c r="D38" s="10" t="s">
        <v>1607</v>
      </c>
      <c r="E38" s="10" t="s">
        <v>1608</v>
      </c>
      <c r="F38" s="11" t="s">
        <v>23</v>
      </c>
      <c r="G38" s="49">
        <v>1</v>
      </c>
    </row>
    <row r="39" s="21" customFormat="1" ht="21.5" customHeight="1" spans="1:7">
      <c r="A39" s="15">
        <v>11</v>
      </c>
      <c r="B39" s="15">
        <v>2105</v>
      </c>
      <c r="C39" s="15"/>
      <c r="D39" s="10" t="s">
        <v>1609</v>
      </c>
      <c r="E39" s="10" t="s">
        <v>1610</v>
      </c>
      <c r="F39" s="11" t="s">
        <v>23</v>
      </c>
      <c r="G39" s="49">
        <v>2</v>
      </c>
    </row>
    <row r="40" s="21" customFormat="1" ht="21.5" customHeight="1" spans="1:7">
      <c r="A40" s="15">
        <v>4</v>
      </c>
      <c r="B40" s="15">
        <v>2105</v>
      </c>
      <c r="C40" s="15"/>
      <c r="D40" s="10" t="s">
        <v>1611</v>
      </c>
      <c r="E40" s="10" t="s">
        <v>1612</v>
      </c>
      <c r="F40" s="11" t="s">
        <v>23</v>
      </c>
      <c r="G40" s="49">
        <v>2</v>
      </c>
    </row>
    <row r="41" s="21" customFormat="1" ht="21.5" customHeight="1" spans="1:7">
      <c r="A41" s="15">
        <v>5</v>
      </c>
      <c r="B41" s="15">
        <v>2105</v>
      </c>
      <c r="C41" s="15"/>
      <c r="D41" s="10" t="s">
        <v>1613</v>
      </c>
      <c r="E41" s="10" t="s">
        <v>1612</v>
      </c>
      <c r="F41" s="11" t="s">
        <v>23</v>
      </c>
      <c r="G41" s="49">
        <v>1</v>
      </c>
    </row>
    <row r="42" s="21" customFormat="1" ht="21.5" customHeight="1" spans="1:7">
      <c r="A42" s="15">
        <v>6</v>
      </c>
      <c r="B42" s="15">
        <v>2105</v>
      </c>
      <c r="C42" s="15"/>
      <c r="D42" s="10" t="s">
        <v>1613</v>
      </c>
      <c r="E42" s="10" t="s">
        <v>1612</v>
      </c>
      <c r="F42" s="11" t="s">
        <v>23</v>
      </c>
      <c r="G42" s="49">
        <v>3</v>
      </c>
    </row>
    <row r="43" s="21" customFormat="1" ht="21.5" customHeight="1" spans="1:7">
      <c r="A43" s="15">
        <v>8</v>
      </c>
      <c r="B43" s="15">
        <v>2105</v>
      </c>
      <c r="C43" s="15"/>
      <c r="D43" s="10" t="s">
        <v>1614</v>
      </c>
      <c r="E43" s="10" t="s">
        <v>1615</v>
      </c>
      <c r="F43" s="11" t="s">
        <v>23</v>
      </c>
      <c r="G43" s="49">
        <v>1</v>
      </c>
    </row>
    <row r="44" s="21" customFormat="1" ht="21.5" customHeight="1" spans="1:7">
      <c r="A44" s="15">
        <v>9</v>
      </c>
      <c r="B44" s="15">
        <v>2105</v>
      </c>
      <c r="C44" s="15"/>
      <c r="D44" s="10" t="s">
        <v>1616</v>
      </c>
      <c r="E44" s="10" t="s">
        <v>1617</v>
      </c>
      <c r="F44" s="11" t="s">
        <v>23</v>
      </c>
      <c r="G44" s="49">
        <v>2</v>
      </c>
    </row>
    <row r="45" s="21" customFormat="1" ht="21.5" customHeight="1" spans="1:7">
      <c r="A45" s="15">
        <v>10</v>
      </c>
      <c r="B45" s="15">
        <v>2105</v>
      </c>
      <c r="C45" s="15"/>
      <c r="D45" s="10" t="s">
        <v>1618</v>
      </c>
      <c r="E45" s="10" t="s">
        <v>1619</v>
      </c>
      <c r="F45" s="11" t="s">
        <v>23</v>
      </c>
      <c r="G45" s="49">
        <v>2</v>
      </c>
    </row>
    <row r="46" s="21" customFormat="1" ht="21.5" customHeight="1" spans="1:7">
      <c r="A46" s="15">
        <v>12</v>
      </c>
      <c r="B46" s="15">
        <v>2105</v>
      </c>
      <c r="C46" s="15"/>
      <c r="D46" s="10" t="s">
        <v>1620</v>
      </c>
      <c r="E46" s="10" t="s">
        <v>1621</v>
      </c>
      <c r="F46" s="11" t="s">
        <v>23</v>
      </c>
      <c r="G46" s="49">
        <v>2</v>
      </c>
    </row>
    <row r="47" s="21" customFormat="1" ht="21.5" customHeight="1" spans="1:7">
      <c r="A47" s="15">
        <v>13</v>
      </c>
      <c r="B47" s="15">
        <v>2105</v>
      </c>
      <c r="C47" s="15"/>
      <c r="D47" s="10" t="s">
        <v>1622</v>
      </c>
      <c r="E47" s="10" t="s">
        <v>1623</v>
      </c>
      <c r="F47" s="11" t="s">
        <v>23</v>
      </c>
      <c r="G47" s="49">
        <v>2</v>
      </c>
    </row>
    <row r="48" s="21" customFormat="1" ht="21.5" customHeight="1" spans="1:7">
      <c r="A48" s="15">
        <v>15</v>
      </c>
      <c r="B48" s="15">
        <v>2105</v>
      </c>
      <c r="C48" s="15"/>
      <c r="D48" s="10" t="s">
        <v>1620</v>
      </c>
      <c r="E48" s="10" t="s">
        <v>1624</v>
      </c>
      <c r="F48" s="11" t="s">
        <v>23</v>
      </c>
      <c r="G48" s="49">
        <v>1</v>
      </c>
    </row>
    <row r="49" s="21" customFormat="1" ht="21.5" customHeight="1" spans="1:7">
      <c r="A49" s="15">
        <v>15</v>
      </c>
      <c r="B49" s="15">
        <v>2105</v>
      </c>
      <c r="C49" s="15"/>
      <c r="D49" s="10" t="s">
        <v>1620</v>
      </c>
      <c r="E49" s="10" t="s">
        <v>1625</v>
      </c>
      <c r="F49" s="11" t="s">
        <v>23</v>
      </c>
      <c r="G49" s="49">
        <v>1</v>
      </c>
    </row>
    <row r="50" s="21" customFormat="1" ht="21.5" customHeight="1" spans="1:7">
      <c r="A50" s="15">
        <v>16</v>
      </c>
      <c r="B50" s="15">
        <v>2105</v>
      </c>
      <c r="C50" s="15"/>
      <c r="D50" s="10" t="s">
        <v>1626</v>
      </c>
      <c r="E50" s="10" t="s">
        <v>1627</v>
      </c>
      <c r="F50" s="11" t="s">
        <v>23</v>
      </c>
      <c r="G50" s="49">
        <v>4</v>
      </c>
    </row>
    <row r="51" s="21" customFormat="1" ht="21.5" customHeight="1" spans="1:7">
      <c r="A51" s="15">
        <v>17</v>
      </c>
      <c r="B51" s="15">
        <v>2105</v>
      </c>
      <c r="C51" s="15"/>
      <c r="D51" s="10" t="s">
        <v>1618</v>
      </c>
      <c r="E51" s="10" t="s">
        <v>1628</v>
      </c>
      <c r="F51" s="11" t="s">
        <v>23</v>
      </c>
      <c r="G51" s="49">
        <v>1</v>
      </c>
    </row>
    <row r="52" s="21" customFormat="1" ht="21.5" customHeight="1" spans="1:7">
      <c r="A52" s="15">
        <v>17</v>
      </c>
      <c r="B52" s="15">
        <v>2105</v>
      </c>
      <c r="C52" s="15"/>
      <c r="D52" s="10" t="s">
        <v>1620</v>
      </c>
      <c r="E52" s="10" t="s">
        <v>1629</v>
      </c>
      <c r="F52" s="11" t="s">
        <v>23</v>
      </c>
      <c r="G52" s="49">
        <v>2</v>
      </c>
    </row>
    <row r="53" s="21" customFormat="1" ht="21.5" customHeight="1" spans="1:7">
      <c r="A53" s="87" t="s">
        <v>54</v>
      </c>
      <c r="B53" s="15">
        <v>2105</v>
      </c>
      <c r="C53" s="15"/>
      <c r="D53" s="10" t="s">
        <v>1630</v>
      </c>
      <c r="E53" s="10"/>
      <c r="F53" s="11"/>
      <c r="G53" s="49"/>
    </row>
    <row r="54" s="21" customFormat="1" ht="21.5" customHeight="1" spans="1:7">
      <c r="A54" s="15">
        <v>1</v>
      </c>
      <c r="B54" s="15">
        <v>2105</v>
      </c>
      <c r="C54" s="15"/>
      <c r="D54" s="10" t="s">
        <v>1631</v>
      </c>
      <c r="E54" s="10" t="s">
        <v>1632</v>
      </c>
      <c r="F54" s="11" t="s">
        <v>23</v>
      </c>
      <c r="G54" s="49">
        <v>2</v>
      </c>
    </row>
    <row r="55" s="21" customFormat="1" ht="21.5" customHeight="1" spans="1:7">
      <c r="A55" s="15">
        <v>2</v>
      </c>
      <c r="B55" s="15">
        <v>2105</v>
      </c>
      <c r="C55" s="15"/>
      <c r="D55" s="10" t="s">
        <v>1572</v>
      </c>
      <c r="E55" s="10" t="s">
        <v>1633</v>
      </c>
      <c r="F55" s="11" t="s">
        <v>23</v>
      </c>
      <c r="G55" s="49">
        <v>2</v>
      </c>
    </row>
    <row r="56" s="21" customFormat="1" ht="21.5" customHeight="1" spans="1:7">
      <c r="A56" s="15">
        <v>3</v>
      </c>
      <c r="B56" s="15">
        <v>2105</v>
      </c>
      <c r="C56" s="15"/>
      <c r="D56" s="10" t="s">
        <v>1634</v>
      </c>
      <c r="E56" s="10" t="s">
        <v>1635</v>
      </c>
      <c r="F56" s="11" t="s">
        <v>23</v>
      </c>
      <c r="G56" s="49">
        <v>2</v>
      </c>
    </row>
    <row r="57" s="21" customFormat="1" ht="21.5" customHeight="1" spans="1:7">
      <c r="A57" s="15">
        <v>4</v>
      </c>
      <c r="B57" s="15">
        <v>2105</v>
      </c>
      <c r="C57" s="15"/>
      <c r="D57" s="10" t="s">
        <v>1636</v>
      </c>
      <c r="E57" s="10" t="s">
        <v>1637</v>
      </c>
      <c r="F57" s="11" t="s">
        <v>23</v>
      </c>
      <c r="G57" s="49">
        <v>2</v>
      </c>
    </row>
    <row r="58" s="21" customFormat="1" ht="21.5" customHeight="1" spans="1:7">
      <c r="A58" s="15">
        <v>5</v>
      </c>
      <c r="B58" s="15">
        <v>2105</v>
      </c>
      <c r="C58" s="15"/>
      <c r="D58" s="10" t="s">
        <v>1638</v>
      </c>
      <c r="E58" s="10" t="s">
        <v>1639</v>
      </c>
      <c r="F58" s="11" t="s">
        <v>23</v>
      </c>
      <c r="G58" s="49">
        <v>2</v>
      </c>
    </row>
    <row r="59" s="21" customFormat="1" ht="21.5" customHeight="1" spans="1:7">
      <c r="A59" s="15">
        <v>6</v>
      </c>
      <c r="B59" s="15">
        <v>2105</v>
      </c>
      <c r="C59" s="15"/>
      <c r="D59" s="10" t="s">
        <v>1572</v>
      </c>
      <c r="E59" s="10" t="s">
        <v>1640</v>
      </c>
      <c r="F59" s="11" t="s">
        <v>23</v>
      </c>
      <c r="G59" s="49">
        <v>2</v>
      </c>
    </row>
    <row r="60" s="21" customFormat="1" ht="21.5" customHeight="1" spans="1:7">
      <c r="A60" s="15">
        <v>7</v>
      </c>
      <c r="B60" s="15">
        <v>2105</v>
      </c>
      <c r="C60" s="15"/>
      <c r="D60" s="10" t="s">
        <v>1566</v>
      </c>
      <c r="E60" s="10" t="s">
        <v>1641</v>
      </c>
      <c r="F60" s="11" t="s">
        <v>23</v>
      </c>
      <c r="G60" s="49">
        <v>2</v>
      </c>
    </row>
    <row r="61" s="21" customFormat="1" ht="21.5" customHeight="1" spans="1:7">
      <c r="A61" s="15">
        <v>8</v>
      </c>
      <c r="B61" s="15">
        <v>2105</v>
      </c>
      <c r="C61" s="15"/>
      <c r="D61" s="10" t="s">
        <v>1642</v>
      </c>
      <c r="E61" s="10" t="s">
        <v>1643</v>
      </c>
      <c r="F61" s="11" t="s">
        <v>23</v>
      </c>
      <c r="G61" s="49">
        <v>2</v>
      </c>
    </row>
    <row r="62" s="21" customFormat="1" ht="21.5" customHeight="1" spans="1:7">
      <c r="A62" s="15">
        <v>9</v>
      </c>
      <c r="B62" s="15">
        <v>2105</v>
      </c>
      <c r="C62" s="15"/>
      <c r="D62" s="10" t="s">
        <v>1572</v>
      </c>
      <c r="E62" s="10" t="s">
        <v>1644</v>
      </c>
      <c r="F62" s="11" t="s">
        <v>23</v>
      </c>
      <c r="G62" s="49">
        <v>4</v>
      </c>
    </row>
    <row r="63" s="21" customFormat="1" ht="21.5" customHeight="1" spans="1:7">
      <c r="A63" s="15">
        <v>10</v>
      </c>
      <c r="B63" s="15">
        <v>2105</v>
      </c>
      <c r="C63" s="15"/>
      <c r="D63" s="10" t="s">
        <v>1636</v>
      </c>
      <c r="E63" s="10" t="s">
        <v>1645</v>
      </c>
      <c r="F63" s="11" t="s">
        <v>23</v>
      </c>
      <c r="G63" s="49">
        <v>1</v>
      </c>
    </row>
    <row r="64" s="21" customFormat="1" ht="21.5" customHeight="1" spans="1:7">
      <c r="A64" s="15">
        <v>11</v>
      </c>
      <c r="B64" s="15">
        <v>2105</v>
      </c>
      <c r="C64" s="15"/>
      <c r="D64" s="10" t="s">
        <v>1572</v>
      </c>
      <c r="E64" s="10" t="s">
        <v>1646</v>
      </c>
      <c r="F64" s="11" t="s">
        <v>23</v>
      </c>
      <c r="G64" s="49">
        <v>2</v>
      </c>
    </row>
    <row r="65" s="21" customFormat="1" ht="21.5" customHeight="1" spans="1:7">
      <c r="A65" s="87" t="s">
        <v>1361</v>
      </c>
      <c r="B65" s="15">
        <v>2105</v>
      </c>
      <c r="C65" s="15"/>
      <c r="D65" s="10" t="s">
        <v>1647</v>
      </c>
      <c r="E65" s="10"/>
      <c r="F65" s="11"/>
      <c r="G65" s="49"/>
    </row>
    <row r="66" s="21" customFormat="1" ht="21.5" customHeight="1" spans="1:7">
      <c r="A66" s="15">
        <v>1</v>
      </c>
      <c r="B66" s="15">
        <v>2105</v>
      </c>
      <c r="C66" s="15"/>
      <c r="D66" s="10" t="s">
        <v>1648</v>
      </c>
      <c r="E66" s="10" t="s">
        <v>1649</v>
      </c>
      <c r="F66" s="11" t="s">
        <v>23</v>
      </c>
      <c r="G66" s="49">
        <v>2</v>
      </c>
    </row>
    <row r="67" s="21" customFormat="1" ht="21.5" customHeight="1" spans="1:7">
      <c r="A67" s="15">
        <v>2</v>
      </c>
      <c r="B67" s="15">
        <v>2105</v>
      </c>
      <c r="C67" s="15"/>
      <c r="D67" s="10" t="s">
        <v>1650</v>
      </c>
      <c r="E67" s="10" t="s">
        <v>1651</v>
      </c>
      <c r="F67" s="11" t="s">
        <v>23</v>
      </c>
      <c r="G67" s="49">
        <v>2</v>
      </c>
    </row>
    <row r="68" s="21" customFormat="1" ht="21.5" customHeight="1" spans="1:7">
      <c r="A68" s="15">
        <v>3</v>
      </c>
      <c r="B68" s="15">
        <v>2105</v>
      </c>
      <c r="C68" s="15"/>
      <c r="D68" s="10" t="s">
        <v>1652</v>
      </c>
      <c r="E68" s="10" t="s">
        <v>1653</v>
      </c>
      <c r="F68" s="11" t="s">
        <v>23</v>
      </c>
      <c r="G68" s="49">
        <v>2</v>
      </c>
    </row>
    <row r="69" s="21" customFormat="1" ht="21.5" customHeight="1" spans="1:7">
      <c r="A69" s="15">
        <v>4</v>
      </c>
      <c r="B69" s="15">
        <v>2105</v>
      </c>
      <c r="C69" s="15"/>
      <c r="D69" s="10" t="s">
        <v>1572</v>
      </c>
      <c r="E69" s="10" t="s">
        <v>1654</v>
      </c>
      <c r="F69" s="11" t="s">
        <v>23</v>
      </c>
      <c r="G69" s="49">
        <v>2</v>
      </c>
    </row>
    <row r="70" s="21" customFormat="1" ht="21.5" customHeight="1" spans="1:7">
      <c r="A70" s="15">
        <v>5</v>
      </c>
      <c r="B70" s="15">
        <v>2105</v>
      </c>
      <c r="C70" s="15"/>
      <c r="D70" s="10" t="s">
        <v>1636</v>
      </c>
      <c r="E70" s="10" t="s">
        <v>1655</v>
      </c>
      <c r="F70" s="11" t="s">
        <v>23</v>
      </c>
      <c r="G70" s="49">
        <v>2</v>
      </c>
    </row>
    <row r="71" s="21" customFormat="1" ht="21.5" customHeight="1" spans="1:7">
      <c r="A71" s="15">
        <v>6</v>
      </c>
      <c r="B71" s="15">
        <v>2105</v>
      </c>
      <c r="C71" s="15"/>
      <c r="D71" s="10" t="s">
        <v>1638</v>
      </c>
      <c r="E71" s="10" t="s">
        <v>1656</v>
      </c>
      <c r="F71" s="11" t="s">
        <v>23</v>
      </c>
      <c r="G71" s="49">
        <v>2</v>
      </c>
    </row>
    <row r="72" s="21" customFormat="1" ht="21.5" customHeight="1" spans="1:7">
      <c r="A72" s="15">
        <v>7</v>
      </c>
      <c r="B72" s="15">
        <v>2105</v>
      </c>
      <c r="C72" s="15"/>
      <c r="D72" s="10" t="s">
        <v>1572</v>
      </c>
      <c r="E72" s="10" t="s">
        <v>1657</v>
      </c>
      <c r="F72" s="11" t="s">
        <v>23</v>
      </c>
      <c r="G72" s="49">
        <v>1</v>
      </c>
    </row>
    <row r="73" s="21" customFormat="1" ht="21.5" customHeight="1" spans="1:7">
      <c r="A73" s="15">
        <v>8</v>
      </c>
      <c r="B73" s="15">
        <v>2105</v>
      </c>
      <c r="C73" s="15"/>
      <c r="D73" s="10" t="s">
        <v>1634</v>
      </c>
      <c r="E73" s="10" t="s">
        <v>1658</v>
      </c>
      <c r="F73" s="11" t="s">
        <v>23</v>
      </c>
      <c r="G73" s="49">
        <v>1</v>
      </c>
    </row>
    <row r="74" s="21" customFormat="1" ht="21.5" customHeight="1" spans="1:7">
      <c r="A74" s="15">
        <v>9</v>
      </c>
      <c r="B74" s="15">
        <v>2105</v>
      </c>
      <c r="C74" s="15"/>
      <c r="D74" s="10" t="s">
        <v>1572</v>
      </c>
      <c r="E74" s="10" t="s">
        <v>1659</v>
      </c>
      <c r="F74" s="11" t="s">
        <v>23</v>
      </c>
      <c r="G74" s="49">
        <v>1</v>
      </c>
    </row>
    <row r="75" s="21" customFormat="1" ht="21.5" customHeight="1" spans="1:7">
      <c r="A75" s="15">
        <v>10</v>
      </c>
      <c r="B75" s="15">
        <v>2105</v>
      </c>
      <c r="C75" s="15"/>
      <c r="D75" s="10" t="s">
        <v>1634</v>
      </c>
      <c r="E75" s="10" t="s">
        <v>1660</v>
      </c>
      <c r="F75" s="11" t="s">
        <v>23</v>
      </c>
      <c r="G75" s="49">
        <v>1</v>
      </c>
    </row>
    <row r="76" s="21" customFormat="1" ht="21.5" customHeight="1" spans="1:7">
      <c r="A76" s="15">
        <v>11</v>
      </c>
      <c r="B76" s="15">
        <v>2105</v>
      </c>
      <c r="C76" s="15"/>
      <c r="D76" s="10" t="s">
        <v>1566</v>
      </c>
      <c r="E76" s="10" t="s">
        <v>1661</v>
      </c>
      <c r="F76" s="11" t="s">
        <v>23</v>
      </c>
      <c r="G76" s="49">
        <v>1</v>
      </c>
    </row>
    <row r="77" s="21" customFormat="1" ht="21.5" customHeight="1" spans="1:7">
      <c r="A77" s="15">
        <v>12</v>
      </c>
      <c r="B77" s="15">
        <v>2105</v>
      </c>
      <c r="C77" s="15"/>
      <c r="D77" s="10" t="s">
        <v>1566</v>
      </c>
      <c r="E77" s="10" t="s">
        <v>1662</v>
      </c>
      <c r="F77" s="11" t="s">
        <v>23</v>
      </c>
      <c r="G77" s="49">
        <v>1</v>
      </c>
    </row>
    <row r="78" s="21" customFormat="1" ht="21.5" customHeight="1" spans="1:7">
      <c r="A78" s="15">
        <v>13</v>
      </c>
      <c r="B78" s="15">
        <v>2105</v>
      </c>
      <c r="C78" s="15"/>
      <c r="D78" s="10" t="s">
        <v>1566</v>
      </c>
      <c r="E78" s="10" t="s">
        <v>1662</v>
      </c>
      <c r="F78" s="11" t="s">
        <v>23</v>
      </c>
      <c r="G78" s="49">
        <v>2</v>
      </c>
    </row>
    <row r="79" s="21" customFormat="1" ht="21.5" customHeight="1" spans="1:7">
      <c r="A79" s="15">
        <v>14</v>
      </c>
      <c r="B79" s="15">
        <v>2105</v>
      </c>
      <c r="C79" s="15"/>
      <c r="D79" s="10" t="s">
        <v>1566</v>
      </c>
      <c r="E79" s="10" t="s">
        <v>1663</v>
      </c>
      <c r="F79" s="11" t="s">
        <v>23</v>
      </c>
      <c r="G79" s="49">
        <v>3</v>
      </c>
    </row>
    <row r="80" s="21" customFormat="1" ht="21.5" customHeight="1" spans="1:7">
      <c r="A80" s="87" t="s">
        <v>1370</v>
      </c>
      <c r="B80" s="15">
        <v>2105</v>
      </c>
      <c r="C80" s="15"/>
      <c r="D80" s="10" t="s">
        <v>1664</v>
      </c>
      <c r="E80" s="10"/>
      <c r="F80" s="11"/>
      <c r="G80" s="49"/>
    </row>
    <row r="81" s="21" customFormat="1" ht="21.5" customHeight="1" spans="1:7">
      <c r="A81" s="15">
        <v>1</v>
      </c>
      <c r="B81" s="15">
        <v>2105</v>
      </c>
      <c r="C81" s="15"/>
      <c r="D81" s="10" t="s">
        <v>1665</v>
      </c>
      <c r="E81" s="10" t="s">
        <v>1666</v>
      </c>
      <c r="F81" s="11" t="s">
        <v>23</v>
      </c>
      <c r="G81" s="49">
        <v>2</v>
      </c>
    </row>
    <row r="82" s="21" customFormat="1" ht="21.5" customHeight="1" spans="1:7">
      <c r="A82" s="15">
        <v>2</v>
      </c>
      <c r="B82" s="15">
        <v>2105</v>
      </c>
      <c r="C82" s="15"/>
      <c r="D82" s="10" t="s">
        <v>1667</v>
      </c>
      <c r="E82" s="10" t="s">
        <v>1668</v>
      </c>
      <c r="F82" s="11" t="s">
        <v>23</v>
      </c>
      <c r="G82" s="49">
        <v>2</v>
      </c>
    </row>
    <row r="83" s="21" customFormat="1" ht="21.5" customHeight="1" spans="1:7">
      <c r="A83" s="15">
        <v>3</v>
      </c>
      <c r="B83" s="15">
        <v>2105</v>
      </c>
      <c r="C83" s="15"/>
      <c r="D83" s="10" t="s">
        <v>1669</v>
      </c>
      <c r="E83" s="10" t="s">
        <v>1670</v>
      </c>
      <c r="F83" s="11" t="s">
        <v>23</v>
      </c>
      <c r="G83" s="49">
        <v>3</v>
      </c>
    </row>
    <row r="84" s="21" customFormat="1" ht="21.5" customHeight="1" spans="1:7">
      <c r="A84" s="15">
        <v>4</v>
      </c>
      <c r="B84" s="15">
        <v>2105</v>
      </c>
      <c r="C84" s="15"/>
      <c r="D84" s="10" t="s">
        <v>1671</v>
      </c>
      <c r="E84" s="10" t="s">
        <v>1672</v>
      </c>
      <c r="F84" s="11" t="s">
        <v>23</v>
      </c>
      <c r="G84" s="49">
        <v>2</v>
      </c>
    </row>
    <row r="85" s="21" customFormat="1" ht="21.5" customHeight="1" spans="1:7">
      <c r="A85" s="15">
        <v>5</v>
      </c>
      <c r="B85" s="15">
        <v>2105</v>
      </c>
      <c r="C85" s="15"/>
      <c r="D85" s="10" t="s">
        <v>1673</v>
      </c>
      <c r="E85" s="10" t="s">
        <v>1674</v>
      </c>
      <c r="F85" s="11" t="s">
        <v>23</v>
      </c>
      <c r="G85" s="49">
        <v>1</v>
      </c>
    </row>
    <row r="86" s="21" customFormat="1" ht="21.5" customHeight="1" spans="1:7">
      <c r="A86" s="15">
        <v>6</v>
      </c>
      <c r="B86" s="15">
        <v>2105</v>
      </c>
      <c r="C86" s="15"/>
      <c r="D86" s="10" t="s">
        <v>1675</v>
      </c>
      <c r="E86" s="10" t="s">
        <v>1676</v>
      </c>
      <c r="F86" s="11" t="s">
        <v>23</v>
      </c>
      <c r="G86" s="49">
        <v>1</v>
      </c>
    </row>
    <row r="87" s="21" customFormat="1" ht="21.5" customHeight="1" spans="1:7">
      <c r="A87" s="15">
        <v>7</v>
      </c>
      <c r="B87" s="15">
        <v>2105</v>
      </c>
      <c r="C87" s="15"/>
      <c r="D87" s="10" t="s">
        <v>1677</v>
      </c>
      <c r="E87" s="10" t="s">
        <v>1674</v>
      </c>
      <c r="F87" s="11" t="s">
        <v>23</v>
      </c>
      <c r="G87" s="49">
        <v>2</v>
      </c>
    </row>
    <row r="88" s="21" customFormat="1" ht="21.5" customHeight="1" spans="1:7">
      <c r="A88" s="15">
        <v>8</v>
      </c>
      <c r="B88" s="15">
        <v>2105</v>
      </c>
      <c r="C88" s="15"/>
      <c r="D88" s="10" t="s">
        <v>1572</v>
      </c>
      <c r="E88" s="10" t="s">
        <v>1678</v>
      </c>
      <c r="F88" s="11" t="s">
        <v>23</v>
      </c>
      <c r="G88" s="49">
        <v>2</v>
      </c>
    </row>
    <row r="89" s="21" customFormat="1" ht="21.5" customHeight="1" spans="1:7">
      <c r="A89" s="15">
        <v>9</v>
      </c>
      <c r="B89" s="15">
        <v>2105</v>
      </c>
      <c r="C89" s="15"/>
      <c r="D89" s="10" t="s">
        <v>1636</v>
      </c>
      <c r="E89" s="10" t="s">
        <v>1679</v>
      </c>
      <c r="F89" s="11" t="s">
        <v>23</v>
      </c>
      <c r="G89" s="49">
        <v>2</v>
      </c>
    </row>
    <row r="90" s="21" customFormat="1" ht="21.5" customHeight="1" spans="1:7">
      <c r="A90" s="15">
        <v>10</v>
      </c>
      <c r="B90" s="15">
        <v>2105</v>
      </c>
      <c r="C90" s="15"/>
      <c r="D90" s="10" t="s">
        <v>1638</v>
      </c>
      <c r="E90" s="10" t="s">
        <v>1680</v>
      </c>
      <c r="F90" s="11" t="s">
        <v>23</v>
      </c>
      <c r="G90" s="49">
        <v>2</v>
      </c>
    </row>
    <row r="91" s="21" customFormat="1" ht="21.5" customHeight="1" spans="1:7">
      <c r="A91" s="15">
        <v>11</v>
      </c>
      <c r="B91" s="15">
        <v>2105</v>
      </c>
      <c r="C91" s="15"/>
      <c r="D91" s="10" t="s">
        <v>1572</v>
      </c>
      <c r="E91" s="10" t="s">
        <v>1681</v>
      </c>
      <c r="F91" s="11" t="s">
        <v>23</v>
      </c>
      <c r="G91" s="49">
        <v>1</v>
      </c>
    </row>
    <row r="92" s="21" customFormat="1" ht="21.5" customHeight="1" spans="1:7">
      <c r="A92" s="15">
        <v>12</v>
      </c>
      <c r="B92" s="15">
        <v>2105</v>
      </c>
      <c r="C92" s="15"/>
      <c r="D92" s="10" t="s">
        <v>1572</v>
      </c>
      <c r="E92" s="10" t="s">
        <v>1682</v>
      </c>
      <c r="F92" s="11" t="s">
        <v>23</v>
      </c>
      <c r="G92" s="49">
        <v>1</v>
      </c>
    </row>
    <row r="93" s="21" customFormat="1" ht="21.5" customHeight="1" spans="1:7">
      <c r="A93" s="15">
        <v>13</v>
      </c>
      <c r="B93" s="15">
        <v>2105</v>
      </c>
      <c r="C93" s="15"/>
      <c r="D93" s="10" t="s">
        <v>1572</v>
      </c>
      <c r="E93" s="10" t="s">
        <v>1683</v>
      </c>
      <c r="F93" s="11" t="s">
        <v>23</v>
      </c>
      <c r="G93" s="49">
        <v>2</v>
      </c>
    </row>
    <row r="94" s="21" customFormat="1" ht="21.5" customHeight="1" spans="1:7">
      <c r="A94" s="15">
        <v>14</v>
      </c>
      <c r="B94" s="15">
        <v>2105</v>
      </c>
      <c r="C94" s="15"/>
      <c r="D94" s="10" t="s">
        <v>1572</v>
      </c>
      <c r="E94" s="10" t="s">
        <v>1682</v>
      </c>
      <c r="F94" s="11" t="s">
        <v>23</v>
      </c>
      <c r="G94" s="49">
        <v>2</v>
      </c>
    </row>
    <row r="95" s="21" customFormat="1" ht="21.5" customHeight="1" spans="1:7">
      <c r="A95" s="15">
        <v>15</v>
      </c>
      <c r="B95" s="15">
        <v>2105</v>
      </c>
      <c r="C95" s="15"/>
      <c r="D95" s="10" t="s">
        <v>1636</v>
      </c>
      <c r="E95" s="10" t="s">
        <v>1684</v>
      </c>
      <c r="F95" s="11" t="s">
        <v>23</v>
      </c>
      <c r="G95" s="49">
        <v>2</v>
      </c>
    </row>
    <row r="96" s="21" customFormat="1" ht="21.5" customHeight="1" spans="1:7">
      <c r="A96" s="15">
        <v>16</v>
      </c>
      <c r="B96" s="15">
        <v>2105</v>
      </c>
      <c r="C96" s="15"/>
      <c r="D96" s="10" t="s">
        <v>1638</v>
      </c>
      <c r="E96" s="10" t="s">
        <v>1685</v>
      </c>
      <c r="F96" s="11" t="s">
        <v>23</v>
      </c>
      <c r="G96" s="49">
        <v>2</v>
      </c>
    </row>
    <row r="97" s="21" customFormat="1" ht="21.5" customHeight="1" spans="1:7">
      <c r="A97" s="15">
        <v>17</v>
      </c>
      <c r="B97" s="15">
        <v>2105</v>
      </c>
      <c r="C97" s="15"/>
      <c r="D97" s="10" t="s">
        <v>1566</v>
      </c>
      <c r="E97" s="10" t="s">
        <v>1686</v>
      </c>
      <c r="F97" s="11" t="s">
        <v>23</v>
      </c>
      <c r="G97" s="49">
        <v>14</v>
      </c>
    </row>
    <row r="98" s="21" customFormat="1" ht="21.5" customHeight="1" spans="1:7">
      <c r="A98" s="87" t="s">
        <v>1376</v>
      </c>
      <c r="B98" s="15">
        <v>2105</v>
      </c>
      <c r="C98" s="15"/>
      <c r="D98" s="10" t="s">
        <v>1687</v>
      </c>
      <c r="E98" s="10"/>
      <c r="F98" s="11"/>
      <c r="G98" s="49"/>
    </row>
    <row r="99" s="21" customFormat="1" ht="21.5" customHeight="1" spans="1:7">
      <c r="A99" s="15">
        <v>1</v>
      </c>
      <c r="B99" s="15">
        <v>2105</v>
      </c>
      <c r="C99" s="15"/>
      <c r="D99" s="10" t="s">
        <v>1572</v>
      </c>
      <c r="E99" s="10" t="s">
        <v>1688</v>
      </c>
      <c r="F99" s="11" t="s">
        <v>23</v>
      </c>
      <c r="G99" s="49">
        <v>4</v>
      </c>
    </row>
    <row r="100" s="21" customFormat="1" ht="21.5" customHeight="1" spans="1:7">
      <c r="A100" s="15">
        <v>2</v>
      </c>
      <c r="B100" s="15">
        <v>2105</v>
      </c>
      <c r="C100" s="15"/>
      <c r="D100" s="10" t="s">
        <v>1636</v>
      </c>
      <c r="E100" s="10" t="s">
        <v>1689</v>
      </c>
      <c r="F100" s="11" t="s">
        <v>23</v>
      </c>
      <c r="G100" s="49">
        <v>1</v>
      </c>
    </row>
    <row r="101" s="21" customFormat="1" ht="21.5" customHeight="1" spans="1:7">
      <c r="A101" s="15">
        <v>3</v>
      </c>
      <c r="B101" s="15">
        <v>2105</v>
      </c>
      <c r="C101" s="15"/>
      <c r="D101" s="10" t="s">
        <v>1572</v>
      </c>
      <c r="E101" s="10" t="s">
        <v>1690</v>
      </c>
      <c r="F101" s="11" t="s">
        <v>23</v>
      </c>
      <c r="G101" s="49">
        <v>1</v>
      </c>
    </row>
    <row r="102" s="21" customFormat="1" ht="21.5" customHeight="1" spans="1:7">
      <c r="A102" s="15">
        <v>4</v>
      </c>
      <c r="B102" s="15">
        <v>2105</v>
      </c>
      <c r="C102" s="15"/>
      <c r="D102" s="10" t="s">
        <v>1636</v>
      </c>
      <c r="E102" s="10" t="s">
        <v>1691</v>
      </c>
      <c r="F102" s="11" t="s">
        <v>23</v>
      </c>
      <c r="G102" s="49">
        <v>1</v>
      </c>
    </row>
    <row r="103" s="21" customFormat="1" ht="21.5" customHeight="1" spans="1:7">
      <c r="A103" s="15">
        <v>5</v>
      </c>
      <c r="B103" s="15">
        <v>2105</v>
      </c>
      <c r="C103" s="15"/>
      <c r="D103" s="10" t="s">
        <v>1634</v>
      </c>
      <c r="E103" s="10" t="s">
        <v>1692</v>
      </c>
      <c r="F103" s="11" t="s">
        <v>23</v>
      </c>
      <c r="G103" s="49">
        <v>1</v>
      </c>
    </row>
    <row r="104" s="21" customFormat="1" ht="21.5" customHeight="1" spans="1:7">
      <c r="A104" s="15">
        <v>9</v>
      </c>
      <c r="B104" s="15">
        <v>2105</v>
      </c>
      <c r="C104" s="15"/>
      <c r="D104" s="10" t="s">
        <v>1564</v>
      </c>
      <c r="E104" s="10" t="s">
        <v>1693</v>
      </c>
      <c r="F104" s="11" t="s">
        <v>23</v>
      </c>
      <c r="G104" s="49">
        <v>5</v>
      </c>
    </row>
    <row r="105" s="21" customFormat="1" ht="21.5" customHeight="1" spans="1:7">
      <c r="A105" s="15">
        <v>10</v>
      </c>
      <c r="B105" s="15">
        <v>2105</v>
      </c>
      <c r="C105" s="15"/>
      <c r="D105" s="10" t="s">
        <v>1566</v>
      </c>
      <c r="E105" s="10" t="s">
        <v>1694</v>
      </c>
      <c r="F105" s="11" t="s">
        <v>23</v>
      </c>
      <c r="G105" s="49">
        <v>16</v>
      </c>
    </row>
    <row r="106" s="21" customFormat="1" ht="21.5" customHeight="1" spans="1:7">
      <c r="A106" s="15">
        <v>11</v>
      </c>
      <c r="B106" s="15">
        <v>2105</v>
      </c>
      <c r="C106" s="15"/>
      <c r="D106" s="10" t="s">
        <v>1564</v>
      </c>
      <c r="E106" s="10" t="s">
        <v>1695</v>
      </c>
      <c r="F106" s="11" t="s">
        <v>23</v>
      </c>
      <c r="G106" s="49">
        <v>1</v>
      </c>
    </row>
    <row r="107" s="21" customFormat="1" ht="21.5" customHeight="1" spans="1:7">
      <c r="A107" s="15">
        <v>12</v>
      </c>
      <c r="B107" s="15">
        <v>2105</v>
      </c>
      <c r="C107" s="15"/>
      <c r="D107" s="10" t="s">
        <v>1566</v>
      </c>
      <c r="E107" s="10" t="s">
        <v>1696</v>
      </c>
      <c r="F107" s="11" t="s">
        <v>23</v>
      </c>
      <c r="G107" s="49">
        <v>3</v>
      </c>
    </row>
    <row r="108" s="21" customFormat="1" ht="21.5" customHeight="1" spans="1:7">
      <c r="A108" s="87" t="s">
        <v>1385</v>
      </c>
      <c r="B108" s="15">
        <v>2105</v>
      </c>
      <c r="C108" s="15"/>
      <c r="D108" s="10" t="s">
        <v>1697</v>
      </c>
      <c r="E108" s="10"/>
      <c r="F108" s="11"/>
      <c r="G108" s="49"/>
    </row>
    <row r="109" s="21" customFormat="1" ht="21.5" customHeight="1" spans="1:7">
      <c r="A109" s="15">
        <v>1</v>
      </c>
      <c r="B109" s="15">
        <v>2105</v>
      </c>
      <c r="C109" s="15"/>
      <c r="D109" s="46" t="s">
        <v>1572</v>
      </c>
      <c r="E109" s="46" t="s">
        <v>1698</v>
      </c>
      <c r="F109" s="42" t="s">
        <v>23</v>
      </c>
      <c r="G109" s="47">
        <v>3</v>
      </c>
    </row>
    <row r="110" s="21" customFormat="1" ht="21.5" customHeight="1" spans="1:7">
      <c r="A110" s="15">
        <v>2</v>
      </c>
      <c r="B110" s="15">
        <v>2105</v>
      </c>
      <c r="C110" s="15"/>
      <c r="D110" s="46" t="s">
        <v>1636</v>
      </c>
      <c r="E110" s="46" t="s">
        <v>1699</v>
      </c>
      <c r="F110" s="42" t="s">
        <v>23</v>
      </c>
      <c r="G110" s="47">
        <v>1</v>
      </c>
    </row>
    <row r="111" s="21" customFormat="1" ht="21.5" customHeight="1" spans="1:7">
      <c r="A111" s="15">
        <v>3</v>
      </c>
      <c r="B111" s="15">
        <v>2105</v>
      </c>
      <c r="C111" s="15"/>
      <c r="D111" s="46" t="s">
        <v>1572</v>
      </c>
      <c r="E111" s="46" t="s">
        <v>1700</v>
      </c>
      <c r="F111" s="42" t="s">
        <v>23</v>
      </c>
      <c r="G111" s="47">
        <v>1</v>
      </c>
    </row>
    <row r="112" s="21" customFormat="1" ht="21.5" customHeight="1" spans="1:7">
      <c r="A112" s="15">
        <v>4</v>
      </c>
      <c r="B112" s="15">
        <v>2105</v>
      </c>
      <c r="C112" s="15"/>
      <c r="D112" s="46" t="s">
        <v>1572</v>
      </c>
      <c r="E112" s="46" t="s">
        <v>1701</v>
      </c>
      <c r="F112" s="42" t="s">
        <v>23</v>
      </c>
      <c r="G112" s="47">
        <v>1</v>
      </c>
    </row>
    <row r="113" s="21" customFormat="1" ht="21.5" customHeight="1" spans="1:7">
      <c r="A113" s="15">
        <v>5</v>
      </c>
      <c r="B113" s="15">
        <v>2105</v>
      </c>
      <c r="C113" s="15"/>
      <c r="D113" s="46" t="s">
        <v>1572</v>
      </c>
      <c r="E113" s="46" t="s">
        <v>1702</v>
      </c>
      <c r="F113" s="42" t="s">
        <v>23</v>
      </c>
      <c r="G113" s="47">
        <v>1</v>
      </c>
    </row>
    <row r="114" s="21" customFormat="1" ht="21.5" customHeight="1" spans="1:7">
      <c r="A114" s="15">
        <v>6</v>
      </c>
      <c r="B114" s="15">
        <v>2105</v>
      </c>
      <c r="C114" s="15"/>
      <c r="D114" s="46" t="s">
        <v>1572</v>
      </c>
      <c r="E114" s="46" t="s">
        <v>1703</v>
      </c>
      <c r="F114" s="42" t="s">
        <v>23</v>
      </c>
      <c r="G114" s="47">
        <v>1</v>
      </c>
    </row>
    <row r="115" s="21" customFormat="1" ht="21.5" customHeight="1" spans="1:7">
      <c r="A115" s="15">
        <v>7</v>
      </c>
      <c r="B115" s="15">
        <v>2105</v>
      </c>
      <c r="C115" s="15"/>
      <c r="D115" s="46" t="s">
        <v>1638</v>
      </c>
      <c r="E115" s="46" t="s">
        <v>1704</v>
      </c>
      <c r="F115" s="42" t="s">
        <v>23</v>
      </c>
      <c r="G115" s="47">
        <v>1</v>
      </c>
    </row>
    <row r="116" s="21" customFormat="1" ht="21.5" customHeight="1" spans="1:7">
      <c r="A116" s="15">
        <v>9</v>
      </c>
      <c r="B116" s="15">
        <v>2105</v>
      </c>
      <c r="C116" s="15"/>
      <c r="D116" s="46" t="s">
        <v>1564</v>
      </c>
      <c r="E116" s="46" t="s">
        <v>1705</v>
      </c>
      <c r="F116" s="42" t="s">
        <v>23</v>
      </c>
      <c r="G116" s="47">
        <v>8</v>
      </c>
    </row>
    <row r="117" s="21" customFormat="1" ht="21.5" customHeight="1" spans="1:7">
      <c r="A117" s="15">
        <v>10</v>
      </c>
      <c r="B117" s="15">
        <v>2105</v>
      </c>
      <c r="C117" s="15"/>
      <c r="D117" s="46" t="s">
        <v>1566</v>
      </c>
      <c r="E117" s="46" t="s">
        <v>1706</v>
      </c>
      <c r="F117" s="42" t="s">
        <v>23</v>
      </c>
      <c r="G117" s="47">
        <v>24</v>
      </c>
    </row>
    <row r="118" s="21" customFormat="1" ht="21.5" customHeight="1" spans="1:7">
      <c r="A118" s="87" t="s">
        <v>1707</v>
      </c>
      <c r="B118" s="15">
        <v>2105</v>
      </c>
      <c r="C118" s="15"/>
      <c r="D118" s="46" t="s">
        <v>1708</v>
      </c>
      <c r="E118" s="46"/>
      <c r="F118" s="42"/>
      <c r="G118" s="47"/>
    </row>
    <row r="119" s="21" customFormat="1" ht="21.5" customHeight="1" spans="1:7">
      <c r="A119" s="15">
        <v>1</v>
      </c>
      <c r="B119" s="15">
        <v>2105</v>
      </c>
      <c r="C119" s="15"/>
      <c r="D119" s="46" t="s">
        <v>1709</v>
      </c>
      <c r="E119" s="46" t="s">
        <v>1710</v>
      </c>
      <c r="F119" s="42" t="s">
        <v>23</v>
      </c>
      <c r="G119" s="47">
        <v>1</v>
      </c>
    </row>
    <row r="120" s="21" customFormat="1" ht="21.5" customHeight="1" spans="1:7">
      <c r="A120" s="15">
        <v>2</v>
      </c>
      <c r="B120" s="15">
        <v>2105</v>
      </c>
      <c r="C120" s="15"/>
      <c r="D120" s="46" t="s">
        <v>1572</v>
      </c>
      <c r="E120" s="46" t="s">
        <v>1711</v>
      </c>
      <c r="F120" s="42" t="s">
        <v>23</v>
      </c>
      <c r="G120" s="47">
        <v>3</v>
      </c>
    </row>
    <row r="121" s="21" customFormat="1" ht="21.5" customHeight="1" spans="1:7">
      <c r="A121" s="15">
        <v>3</v>
      </c>
      <c r="B121" s="15">
        <v>2105</v>
      </c>
      <c r="C121" s="15"/>
      <c r="D121" s="46" t="s">
        <v>1638</v>
      </c>
      <c r="E121" s="46" t="s">
        <v>1712</v>
      </c>
      <c r="F121" s="42" t="s">
        <v>23</v>
      </c>
      <c r="G121" s="47">
        <v>1</v>
      </c>
    </row>
    <row r="122" s="21" customFormat="1" ht="21.5" customHeight="1" spans="1:7">
      <c r="A122" s="15">
        <v>4</v>
      </c>
      <c r="B122" s="15">
        <v>2105</v>
      </c>
      <c r="C122" s="15"/>
      <c r="D122" s="46" t="s">
        <v>1572</v>
      </c>
      <c r="E122" s="46" t="s">
        <v>1711</v>
      </c>
      <c r="F122" s="42" t="s">
        <v>23</v>
      </c>
      <c r="G122" s="47">
        <v>2</v>
      </c>
    </row>
    <row r="123" s="21" customFormat="1" ht="21.5" customHeight="1" spans="1:7">
      <c r="A123" s="15">
        <v>5</v>
      </c>
      <c r="B123" s="15">
        <v>2105</v>
      </c>
      <c r="C123" s="15"/>
      <c r="D123" s="46" t="s">
        <v>1713</v>
      </c>
      <c r="E123" s="46" t="s">
        <v>1712</v>
      </c>
      <c r="F123" s="42" t="s">
        <v>23</v>
      </c>
      <c r="G123" s="47">
        <v>1</v>
      </c>
    </row>
    <row r="124" s="21" customFormat="1" ht="21.5" customHeight="1" spans="1:7">
      <c r="A124" s="15">
        <v>6</v>
      </c>
      <c r="B124" s="15">
        <v>2105</v>
      </c>
      <c r="C124" s="15"/>
      <c r="D124" s="46" t="s">
        <v>1572</v>
      </c>
      <c r="E124" s="46" t="s">
        <v>1714</v>
      </c>
      <c r="F124" s="42" t="s">
        <v>23</v>
      </c>
      <c r="G124" s="47">
        <v>3</v>
      </c>
    </row>
    <row r="125" s="21" customFormat="1" ht="21.5" customHeight="1" spans="1:7">
      <c r="A125" s="15">
        <v>7</v>
      </c>
      <c r="B125" s="15">
        <v>2105</v>
      </c>
      <c r="C125" s="15"/>
      <c r="D125" s="46" t="s">
        <v>1638</v>
      </c>
      <c r="E125" s="46" t="s">
        <v>1715</v>
      </c>
      <c r="F125" s="42" t="s">
        <v>23</v>
      </c>
      <c r="G125" s="47">
        <v>1</v>
      </c>
    </row>
    <row r="126" s="21" customFormat="1" ht="21.5" customHeight="1" spans="1:7">
      <c r="A126" s="15">
        <v>8</v>
      </c>
      <c r="B126" s="15">
        <v>2105</v>
      </c>
      <c r="C126" s="15"/>
      <c r="D126" s="46" t="s">
        <v>1572</v>
      </c>
      <c r="E126" s="46" t="s">
        <v>1716</v>
      </c>
      <c r="F126" s="42" t="s">
        <v>23</v>
      </c>
      <c r="G126" s="47">
        <v>2</v>
      </c>
    </row>
    <row r="127" s="21" customFormat="1" ht="21.5" customHeight="1" spans="1:7">
      <c r="A127" s="15">
        <v>9</v>
      </c>
      <c r="B127" s="15">
        <v>2105</v>
      </c>
      <c r="C127" s="15"/>
      <c r="D127" s="46" t="s">
        <v>1717</v>
      </c>
      <c r="E127" s="46" t="s">
        <v>1718</v>
      </c>
      <c r="F127" s="42" t="s">
        <v>23</v>
      </c>
      <c r="G127" s="47">
        <v>1</v>
      </c>
    </row>
    <row r="128" s="21" customFormat="1" ht="21.5" customHeight="1" spans="1:7">
      <c r="A128" s="15">
        <v>10</v>
      </c>
      <c r="B128" s="15">
        <v>2105</v>
      </c>
      <c r="C128" s="15"/>
      <c r="D128" s="46" t="s">
        <v>1713</v>
      </c>
      <c r="E128" s="46" t="s">
        <v>1719</v>
      </c>
      <c r="F128" s="42" t="s">
        <v>23</v>
      </c>
      <c r="G128" s="47">
        <v>1</v>
      </c>
    </row>
    <row r="129" s="21" customFormat="1" ht="21.5" customHeight="1" spans="1:7">
      <c r="A129" s="15">
        <v>11</v>
      </c>
      <c r="B129" s="15">
        <v>2105</v>
      </c>
      <c r="C129" s="15"/>
      <c r="D129" s="46" t="s">
        <v>1572</v>
      </c>
      <c r="E129" s="46" t="s">
        <v>1716</v>
      </c>
      <c r="F129" s="42" t="s">
        <v>23</v>
      </c>
      <c r="G129" s="47">
        <v>12</v>
      </c>
    </row>
    <row r="130" s="21" customFormat="1" ht="21.5" customHeight="1" spans="1:7">
      <c r="A130" s="15">
        <v>12</v>
      </c>
      <c r="B130" s="15">
        <v>2105</v>
      </c>
      <c r="C130" s="15"/>
      <c r="D130" s="46" t="s">
        <v>1713</v>
      </c>
      <c r="E130" s="46" t="s">
        <v>1719</v>
      </c>
      <c r="F130" s="42" t="s">
        <v>23</v>
      </c>
      <c r="G130" s="47">
        <v>6</v>
      </c>
    </row>
    <row r="131" s="21" customFormat="1" ht="21.5" customHeight="1" spans="1:7">
      <c r="A131" s="15">
        <v>13</v>
      </c>
      <c r="B131" s="15">
        <v>2105</v>
      </c>
      <c r="C131" s="15"/>
      <c r="D131" s="46" t="s">
        <v>1717</v>
      </c>
      <c r="E131" s="46" t="s">
        <v>1718</v>
      </c>
      <c r="F131" s="42" t="s">
        <v>23</v>
      </c>
      <c r="G131" s="47">
        <v>6</v>
      </c>
    </row>
    <row r="132" s="21" customFormat="1" ht="21.5" customHeight="1" spans="1:7">
      <c r="A132" s="15">
        <v>14</v>
      </c>
      <c r="B132" s="15">
        <v>2105</v>
      </c>
      <c r="C132" s="15"/>
      <c r="D132" s="46" t="s">
        <v>1572</v>
      </c>
      <c r="E132" s="46" t="s">
        <v>1720</v>
      </c>
      <c r="F132" s="42" t="s">
        <v>23</v>
      </c>
      <c r="G132" s="47">
        <v>1</v>
      </c>
    </row>
    <row r="133" s="21" customFormat="1" ht="21.5" customHeight="1" spans="1:7">
      <c r="A133" s="15">
        <v>15</v>
      </c>
      <c r="B133" s="15">
        <v>2105</v>
      </c>
      <c r="C133" s="15"/>
      <c r="D133" s="46" t="s">
        <v>1572</v>
      </c>
      <c r="E133" s="46" t="s">
        <v>1720</v>
      </c>
      <c r="F133" s="42" t="s">
        <v>23</v>
      </c>
      <c r="G133" s="47">
        <v>1</v>
      </c>
    </row>
    <row r="134" s="21" customFormat="1" ht="21.5" customHeight="1" spans="1:7">
      <c r="A134" s="15">
        <v>16</v>
      </c>
      <c r="B134" s="15">
        <v>2105</v>
      </c>
      <c r="C134" s="15"/>
      <c r="D134" s="46" t="s">
        <v>1572</v>
      </c>
      <c r="E134" s="46" t="s">
        <v>1721</v>
      </c>
      <c r="F134" s="42" t="s">
        <v>23</v>
      </c>
      <c r="G134" s="47">
        <v>1</v>
      </c>
    </row>
    <row r="135" s="21" customFormat="1" ht="21.5" customHeight="1" spans="1:7">
      <c r="A135" s="15">
        <v>17</v>
      </c>
      <c r="B135" s="15">
        <v>2105</v>
      </c>
      <c r="C135" s="15"/>
      <c r="D135" s="46" t="s">
        <v>1572</v>
      </c>
      <c r="E135" s="46" t="s">
        <v>1722</v>
      </c>
      <c r="F135" s="42" t="s">
        <v>23</v>
      </c>
      <c r="G135" s="47">
        <v>1</v>
      </c>
    </row>
    <row r="136" s="21" customFormat="1" ht="21.5" customHeight="1" spans="1:7">
      <c r="A136" s="87" t="s">
        <v>1723</v>
      </c>
      <c r="B136" s="15">
        <v>2105</v>
      </c>
      <c r="C136" s="15"/>
      <c r="D136" s="46" t="s">
        <v>1724</v>
      </c>
      <c r="E136" s="46"/>
      <c r="F136" s="42"/>
      <c r="G136" s="47"/>
    </row>
    <row r="137" s="21" customFormat="1" ht="21.5" customHeight="1" spans="1:7">
      <c r="A137" s="15">
        <v>1</v>
      </c>
      <c r="B137" s="15">
        <v>2105</v>
      </c>
      <c r="C137" s="15"/>
      <c r="D137" s="46" t="s">
        <v>1725</v>
      </c>
      <c r="E137" s="46" t="s">
        <v>1726</v>
      </c>
      <c r="F137" s="42" t="s">
        <v>23</v>
      </c>
      <c r="G137" s="47">
        <v>1</v>
      </c>
    </row>
    <row r="138" s="21" customFormat="1" ht="21.5" customHeight="1" spans="1:7">
      <c r="A138" s="15">
        <v>2</v>
      </c>
      <c r="B138" s="15">
        <v>2105</v>
      </c>
      <c r="C138" s="15"/>
      <c r="D138" s="46" t="s">
        <v>1727</v>
      </c>
      <c r="E138" s="46" t="s">
        <v>1728</v>
      </c>
      <c r="F138" s="42" t="s">
        <v>23</v>
      </c>
      <c r="G138" s="47">
        <v>2</v>
      </c>
    </row>
    <row r="139" s="21" customFormat="1" ht="21.5" customHeight="1" spans="1:7">
      <c r="A139" s="15">
        <v>4</v>
      </c>
      <c r="B139" s="15">
        <v>2105</v>
      </c>
      <c r="C139" s="15"/>
      <c r="D139" s="46" t="s">
        <v>1572</v>
      </c>
      <c r="E139" s="46" t="s">
        <v>1720</v>
      </c>
      <c r="F139" s="42" t="s">
        <v>23</v>
      </c>
      <c r="G139" s="47">
        <v>1</v>
      </c>
    </row>
    <row r="140" s="21" customFormat="1" ht="21.5" customHeight="1" spans="1:7">
      <c r="A140" s="15">
        <v>5</v>
      </c>
      <c r="B140" s="15">
        <v>2105</v>
      </c>
      <c r="C140" s="15"/>
      <c r="D140" s="46" t="s">
        <v>1638</v>
      </c>
      <c r="E140" s="46" t="s">
        <v>1729</v>
      </c>
      <c r="F140" s="42" t="s">
        <v>23</v>
      </c>
      <c r="G140" s="47">
        <v>1</v>
      </c>
    </row>
    <row r="141" s="21" customFormat="1" ht="21.5" customHeight="1" spans="1:7">
      <c r="A141" s="15">
        <v>6</v>
      </c>
      <c r="B141" s="15">
        <v>2105</v>
      </c>
      <c r="C141" s="15"/>
      <c r="D141" s="46" t="s">
        <v>1566</v>
      </c>
      <c r="E141" s="46" t="s">
        <v>1730</v>
      </c>
      <c r="F141" s="42" t="s">
        <v>23</v>
      </c>
      <c r="G141" s="47">
        <v>1</v>
      </c>
    </row>
    <row r="142" s="21" customFormat="1" ht="21.5" customHeight="1" spans="1:7">
      <c r="A142" s="15">
        <v>7</v>
      </c>
      <c r="B142" s="15">
        <v>2105</v>
      </c>
      <c r="C142" s="15"/>
      <c r="D142" s="46" t="s">
        <v>1572</v>
      </c>
      <c r="E142" s="46" t="s">
        <v>1698</v>
      </c>
      <c r="F142" s="42" t="s">
        <v>23</v>
      </c>
      <c r="G142" s="47">
        <v>1</v>
      </c>
    </row>
    <row r="143" s="21" customFormat="1" ht="21.5" customHeight="1" spans="1:7">
      <c r="A143" s="15">
        <v>8</v>
      </c>
      <c r="B143" s="15">
        <v>2105</v>
      </c>
      <c r="C143" s="15"/>
      <c r="D143" s="46" t="s">
        <v>1638</v>
      </c>
      <c r="E143" s="46" t="s">
        <v>1731</v>
      </c>
      <c r="F143" s="42" t="s">
        <v>23</v>
      </c>
      <c r="G143" s="47">
        <v>1</v>
      </c>
    </row>
    <row r="144" s="21" customFormat="1" ht="21.5" customHeight="1" spans="1:7">
      <c r="A144" s="87" t="s">
        <v>1732</v>
      </c>
      <c r="B144" s="15">
        <v>2105</v>
      </c>
      <c r="C144" s="15"/>
      <c r="D144" s="10" t="s">
        <v>1733</v>
      </c>
      <c r="E144" s="10"/>
      <c r="F144" s="42"/>
      <c r="G144" s="47"/>
    </row>
    <row r="145" s="21" customFormat="1" ht="21.5" customHeight="1" spans="1:7">
      <c r="A145" s="15">
        <v>1</v>
      </c>
      <c r="B145" s="15">
        <v>2105</v>
      </c>
      <c r="C145" s="15"/>
      <c r="D145" s="10" t="s">
        <v>1734</v>
      </c>
      <c r="E145" s="10" t="s">
        <v>1735</v>
      </c>
      <c r="F145" s="42" t="s">
        <v>23</v>
      </c>
      <c r="G145" s="47">
        <v>1</v>
      </c>
    </row>
    <row r="146" s="21" customFormat="1" ht="21.5" customHeight="1" spans="1:7">
      <c r="A146" s="15">
        <v>2</v>
      </c>
      <c r="B146" s="15">
        <v>2105</v>
      </c>
      <c r="C146" s="15"/>
      <c r="D146" s="10" t="s">
        <v>1736</v>
      </c>
      <c r="E146" s="10" t="s">
        <v>1737</v>
      </c>
      <c r="F146" s="42" t="s">
        <v>23</v>
      </c>
      <c r="G146" s="47">
        <v>1</v>
      </c>
    </row>
    <row r="147" s="21" customFormat="1" ht="21.5" customHeight="1" spans="1:7">
      <c r="A147" s="15">
        <v>3</v>
      </c>
      <c r="B147" s="15">
        <v>2105</v>
      </c>
      <c r="C147" s="15"/>
      <c r="D147" s="10" t="s">
        <v>1738</v>
      </c>
      <c r="E147" s="10" t="s">
        <v>1739</v>
      </c>
      <c r="F147" s="42" t="s">
        <v>23</v>
      </c>
      <c r="G147" s="47">
        <v>1</v>
      </c>
    </row>
    <row r="148" s="21" customFormat="1" ht="21.5" customHeight="1" spans="1:7">
      <c r="A148" s="15">
        <v>4</v>
      </c>
      <c r="B148" s="15">
        <v>2105</v>
      </c>
      <c r="C148" s="15"/>
      <c r="D148" s="10" t="s">
        <v>1740</v>
      </c>
      <c r="E148" s="10" t="s">
        <v>1741</v>
      </c>
      <c r="F148" s="42" t="s">
        <v>23</v>
      </c>
      <c r="G148" s="47">
        <v>1</v>
      </c>
    </row>
    <row r="149" s="21" customFormat="1" ht="21.5" customHeight="1" spans="1:7">
      <c r="A149" s="15">
        <v>5</v>
      </c>
      <c r="B149" s="15">
        <v>2105</v>
      </c>
      <c r="C149" s="15"/>
      <c r="D149" s="46" t="s">
        <v>1738</v>
      </c>
      <c r="E149" s="46" t="s">
        <v>1742</v>
      </c>
      <c r="F149" s="42" t="s">
        <v>23</v>
      </c>
      <c r="G149" s="47">
        <v>1</v>
      </c>
    </row>
    <row r="150" s="21" customFormat="1" ht="21.5" customHeight="1" spans="1:7">
      <c r="A150" s="15">
        <v>6</v>
      </c>
      <c r="B150" s="15">
        <v>2105</v>
      </c>
      <c r="C150" s="15"/>
      <c r="D150" s="46" t="s">
        <v>1740</v>
      </c>
      <c r="E150" s="46" t="s">
        <v>1743</v>
      </c>
      <c r="F150" s="42" t="s">
        <v>23</v>
      </c>
      <c r="G150" s="47">
        <v>1</v>
      </c>
    </row>
    <row r="151" s="21" customFormat="1" ht="21.5" customHeight="1" spans="1:7">
      <c r="A151" s="15">
        <v>7</v>
      </c>
      <c r="B151" s="15">
        <v>2105</v>
      </c>
      <c r="C151" s="15"/>
      <c r="D151" s="46" t="s">
        <v>1566</v>
      </c>
      <c r="E151" s="46" t="s">
        <v>1744</v>
      </c>
      <c r="F151" s="42" t="s">
        <v>23</v>
      </c>
      <c r="G151" s="47">
        <v>1</v>
      </c>
    </row>
    <row r="152" s="21" customFormat="1" ht="21.5" customHeight="1" spans="1:7">
      <c r="A152" s="15">
        <v>8</v>
      </c>
      <c r="B152" s="15">
        <v>2105</v>
      </c>
      <c r="C152" s="15"/>
      <c r="D152" s="46" t="s">
        <v>1642</v>
      </c>
      <c r="E152" s="46" t="s">
        <v>1745</v>
      </c>
      <c r="F152" s="42" t="s">
        <v>23</v>
      </c>
      <c r="G152" s="47">
        <v>1</v>
      </c>
    </row>
    <row r="153" s="21" customFormat="1" ht="21.5" customHeight="1" spans="1:7">
      <c r="A153" s="15">
        <v>9</v>
      </c>
      <c r="B153" s="15">
        <v>2105</v>
      </c>
      <c r="C153" s="15"/>
      <c r="D153" s="46" t="s">
        <v>1566</v>
      </c>
      <c r="E153" s="46" t="s">
        <v>1686</v>
      </c>
      <c r="F153" s="42" t="s">
        <v>23</v>
      </c>
      <c r="G153" s="47">
        <v>1</v>
      </c>
    </row>
    <row r="154" s="21" customFormat="1" ht="21.5" customHeight="1" spans="1:7">
      <c r="A154" s="15">
        <v>10</v>
      </c>
      <c r="B154" s="15">
        <v>2105</v>
      </c>
      <c r="C154" s="15"/>
      <c r="D154" s="46" t="s">
        <v>1642</v>
      </c>
      <c r="E154" s="46" t="s">
        <v>1746</v>
      </c>
      <c r="F154" s="42" t="s">
        <v>23</v>
      </c>
      <c r="G154" s="47">
        <v>1</v>
      </c>
    </row>
    <row r="155" s="21" customFormat="1" ht="21.5" customHeight="1" spans="1:7">
      <c r="A155" s="87" t="s">
        <v>1747</v>
      </c>
      <c r="B155" s="15">
        <v>2105</v>
      </c>
      <c r="C155" s="15"/>
      <c r="D155" s="46" t="s">
        <v>1748</v>
      </c>
      <c r="E155" s="46"/>
      <c r="F155" s="42"/>
      <c r="G155" s="47"/>
    </row>
    <row r="156" s="21" customFormat="1" ht="21.5" customHeight="1" spans="1:7">
      <c r="A156" s="15">
        <v>1</v>
      </c>
      <c r="B156" s="15">
        <v>2105</v>
      </c>
      <c r="C156" s="15"/>
      <c r="D156" s="46" t="s">
        <v>1638</v>
      </c>
      <c r="E156" s="46" t="s">
        <v>1749</v>
      </c>
      <c r="F156" s="42" t="s">
        <v>23</v>
      </c>
      <c r="G156" s="47">
        <v>1</v>
      </c>
    </row>
    <row r="157" s="21" customFormat="1" ht="21.5" customHeight="1" spans="1:7">
      <c r="A157" s="87" t="s">
        <v>1750</v>
      </c>
      <c r="B157" s="15">
        <v>2105</v>
      </c>
      <c r="C157" s="15"/>
      <c r="D157" s="46" t="s">
        <v>1751</v>
      </c>
      <c r="E157" s="46"/>
      <c r="F157" s="42"/>
      <c r="G157" s="47"/>
    </row>
    <row r="158" s="21" customFormat="1" ht="21.5" customHeight="1" spans="1:7">
      <c r="A158" s="15">
        <v>1</v>
      </c>
      <c r="B158" s="15">
        <v>2105</v>
      </c>
      <c r="C158" s="15"/>
      <c r="D158" s="46" t="s">
        <v>1638</v>
      </c>
      <c r="E158" s="46" t="s">
        <v>1752</v>
      </c>
      <c r="F158" s="42" t="s">
        <v>23</v>
      </c>
      <c r="G158" s="47">
        <v>1</v>
      </c>
    </row>
    <row r="159" s="21" customFormat="1" ht="21.5" customHeight="1" spans="1:7">
      <c r="A159" s="15">
        <v>2</v>
      </c>
      <c r="B159" s="15">
        <v>2105</v>
      </c>
      <c r="C159" s="15"/>
      <c r="D159" s="46" t="s">
        <v>1638</v>
      </c>
      <c r="E159" s="46" t="s">
        <v>1753</v>
      </c>
      <c r="F159" s="42" t="s">
        <v>23</v>
      </c>
      <c r="G159" s="47">
        <v>1</v>
      </c>
    </row>
    <row r="160" s="21" customFormat="1" ht="21.5" customHeight="1" spans="1:7">
      <c r="A160" s="15">
        <v>3</v>
      </c>
      <c r="B160" s="15">
        <v>2105</v>
      </c>
      <c r="C160" s="15"/>
      <c r="D160" s="46" t="s">
        <v>1754</v>
      </c>
      <c r="E160" s="46" t="s">
        <v>1755</v>
      </c>
      <c r="F160" s="42" t="s">
        <v>23</v>
      </c>
      <c r="G160" s="47">
        <v>1</v>
      </c>
    </row>
    <row r="161" s="21" customFormat="1" ht="24" spans="1:7">
      <c r="A161" s="87" t="s">
        <v>1756</v>
      </c>
      <c r="B161" s="15">
        <v>2105</v>
      </c>
      <c r="C161" s="15"/>
      <c r="D161" s="46" t="s">
        <v>1757</v>
      </c>
      <c r="E161" s="46" t="s">
        <v>1758</v>
      </c>
      <c r="F161" s="42" t="s">
        <v>23</v>
      </c>
      <c r="G161" s="47">
        <v>1</v>
      </c>
    </row>
    <row r="162" s="21" customFormat="1" ht="21.5" customHeight="1" spans="1:7">
      <c r="A162" s="15">
        <v>0</v>
      </c>
      <c r="B162" s="15">
        <v>2105</v>
      </c>
      <c r="C162" s="15"/>
      <c r="D162" s="46" t="s">
        <v>823</v>
      </c>
      <c r="E162" s="46"/>
      <c r="F162" s="42"/>
      <c r="G162" s="47"/>
    </row>
    <row r="163" s="21" customFormat="1" ht="21.5" customHeight="1" spans="1:7">
      <c r="A163" s="15">
        <v>1</v>
      </c>
      <c r="B163" s="15">
        <v>2105</v>
      </c>
      <c r="C163" s="87" t="s">
        <v>824</v>
      </c>
      <c r="D163" s="46" t="s">
        <v>1759</v>
      </c>
      <c r="E163" s="46" t="s">
        <v>1760</v>
      </c>
      <c r="F163" s="42" t="s">
        <v>23</v>
      </c>
      <c r="G163" s="47">
        <v>1</v>
      </c>
    </row>
    <row r="164" s="21" customFormat="1" ht="21.5" customHeight="1" spans="1:7">
      <c r="A164" s="15">
        <v>2</v>
      </c>
      <c r="B164" s="15">
        <v>2105</v>
      </c>
      <c r="C164" s="87" t="s">
        <v>824</v>
      </c>
      <c r="D164" s="46" t="s">
        <v>1761</v>
      </c>
      <c r="E164" s="46" t="s">
        <v>1762</v>
      </c>
      <c r="F164" s="42" t="s">
        <v>23</v>
      </c>
      <c r="G164" s="47">
        <v>1</v>
      </c>
    </row>
    <row r="165" s="21" customFormat="1" ht="21.5" customHeight="1" spans="1:7">
      <c r="A165" s="15">
        <v>3</v>
      </c>
      <c r="B165" s="15">
        <v>2105</v>
      </c>
      <c r="C165" s="87" t="s">
        <v>681</v>
      </c>
      <c r="D165" s="46" t="s">
        <v>1763</v>
      </c>
      <c r="E165" s="46" t="s">
        <v>1764</v>
      </c>
      <c r="F165" s="42" t="s">
        <v>23</v>
      </c>
      <c r="G165" s="47">
        <v>1</v>
      </c>
    </row>
    <row r="166" s="21" customFormat="1" ht="21.5" customHeight="1" spans="1:7">
      <c r="A166" s="15">
        <v>4</v>
      </c>
      <c r="B166" s="15">
        <v>2105</v>
      </c>
      <c r="C166" s="87" t="s">
        <v>865</v>
      </c>
      <c r="D166" s="46" t="s">
        <v>1765</v>
      </c>
      <c r="E166" s="46"/>
      <c r="F166" s="42" t="s">
        <v>23</v>
      </c>
      <c r="G166" s="47">
        <v>1</v>
      </c>
    </row>
    <row r="167" s="21" customFormat="1" ht="21.5" customHeight="1" spans="1:7">
      <c r="A167" s="15">
        <v>5</v>
      </c>
      <c r="B167" s="15">
        <v>2105</v>
      </c>
      <c r="C167" s="87" t="s">
        <v>1457</v>
      </c>
      <c r="D167" s="46" t="s">
        <v>1766</v>
      </c>
      <c r="E167" s="46" t="s">
        <v>1767</v>
      </c>
      <c r="F167" s="42" t="s">
        <v>23</v>
      </c>
      <c r="G167" s="47">
        <v>1</v>
      </c>
    </row>
    <row r="168" s="21" customFormat="1" ht="19.5" customHeight="1" spans="1:7">
      <c r="A168" s="15">
        <v>6</v>
      </c>
      <c r="B168" s="15">
        <v>2105</v>
      </c>
      <c r="C168" s="87" t="s">
        <v>839</v>
      </c>
      <c r="D168" s="46" t="s">
        <v>839</v>
      </c>
      <c r="E168" s="46" t="s">
        <v>1584</v>
      </c>
      <c r="F168" s="42" t="s">
        <v>1313</v>
      </c>
      <c r="G168" s="47">
        <v>600</v>
      </c>
    </row>
    <row r="169" s="21" customFormat="1" ht="21.5" customHeight="1" spans="1:7">
      <c r="A169" s="15">
        <v>7</v>
      </c>
      <c r="B169" s="15">
        <v>2105</v>
      </c>
      <c r="C169" s="87" t="s">
        <v>842</v>
      </c>
      <c r="D169" s="46" t="s">
        <v>1585</v>
      </c>
      <c r="E169" s="46"/>
      <c r="F169" s="42" t="s">
        <v>1316</v>
      </c>
      <c r="G169" s="47">
        <v>5500</v>
      </c>
    </row>
    <row r="170" s="21" customFormat="1" ht="21.5" customHeight="1" spans="1:7">
      <c r="A170" s="15">
        <v>8</v>
      </c>
      <c r="B170" s="15">
        <v>2105</v>
      </c>
      <c r="C170" s="15"/>
      <c r="D170" s="46" t="s">
        <v>1768</v>
      </c>
      <c r="E170" s="46" t="s">
        <v>1769</v>
      </c>
      <c r="F170" s="42" t="s">
        <v>1313</v>
      </c>
      <c r="G170" s="47">
        <v>1</v>
      </c>
    </row>
    <row r="171" s="21" customFormat="1" ht="21.5" customHeight="1" spans="1:7">
      <c r="A171" s="15">
        <v>9</v>
      </c>
      <c r="B171" s="15">
        <v>2105</v>
      </c>
      <c r="C171" s="15"/>
      <c r="D171" s="46" t="s">
        <v>1770</v>
      </c>
      <c r="E171" s="46" t="s">
        <v>1771</v>
      </c>
      <c r="F171" s="42" t="s">
        <v>23</v>
      </c>
      <c r="G171" s="47">
        <v>1</v>
      </c>
    </row>
    <row r="172" s="21" customFormat="1" ht="21.5" customHeight="1" spans="1:7">
      <c r="A172" s="15"/>
      <c r="B172" s="15"/>
      <c r="C172" s="15"/>
      <c r="D172" s="46"/>
      <c r="E172" s="46"/>
      <c r="F172" s="42"/>
      <c r="G172" s="47"/>
    </row>
    <row r="173" s="21" customFormat="1" ht="21.5" customHeight="1" spans="1:7">
      <c r="A173" s="12"/>
      <c r="B173" s="12"/>
      <c r="C173" s="12"/>
      <c r="D173" s="13" t="s">
        <v>34</v>
      </c>
      <c r="E173" s="13"/>
      <c r="F173" s="14"/>
      <c r="G173" s="48"/>
    </row>
    <row r="174" s="21" customFormat="1" ht="21.5" customHeight="1" spans="1:7">
      <c r="A174" s="87" t="s">
        <v>7</v>
      </c>
      <c r="B174" s="15"/>
      <c r="C174" s="15"/>
      <c r="D174" s="45" t="s">
        <v>1772</v>
      </c>
      <c r="E174" s="46"/>
      <c r="F174" s="42"/>
      <c r="G174" s="47"/>
    </row>
    <row r="175" s="21" customFormat="1" ht="33" customHeight="1" spans="1:7">
      <c r="A175" s="15">
        <v>1</v>
      </c>
      <c r="B175" s="15">
        <v>2152</v>
      </c>
      <c r="C175" s="15"/>
      <c r="D175" s="10" t="s">
        <v>1773</v>
      </c>
      <c r="E175" s="10" t="s">
        <v>1774</v>
      </c>
      <c r="F175" s="11" t="s">
        <v>12</v>
      </c>
      <c r="G175" s="49">
        <v>2</v>
      </c>
    </row>
    <row r="176" s="21" customFormat="1" ht="21.5" customHeight="1" spans="1:7">
      <c r="A176" s="15">
        <v>2</v>
      </c>
      <c r="B176" s="15">
        <v>2152</v>
      </c>
      <c r="C176" s="15"/>
      <c r="D176" s="10" t="s">
        <v>1709</v>
      </c>
      <c r="E176" s="10" t="s">
        <v>1710</v>
      </c>
      <c r="F176" s="11" t="s">
        <v>23</v>
      </c>
      <c r="G176" s="49">
        <v>1</v>
      </c>
    </row>
    <row r="177" s="21" customFormat="1" ht="21.5" customHeight="1" spans="1:7">
      <c r="A177" s="15">
        <v>3</v>
      </c>
      <c r="B177" s="15">
        <v>2152</v>
      </c>
      <c r="C177" s="15"/>
      <c r="D177" s="10" t="s">
        <v>1775</v>
      </c>
      <c r="E177" s="10" t="s">
        <v>1776</v>
      </c>
      <c r="F177" s="11" t="s">
        <v>12</v>
      </c>
      <c r="G177" s="49">
        <v>2</v>
      </c>
    </row>
    <row r="178" s="21" customFormat="1" ht="21.5" customHeight="1" spans="1:7">
      <c r="A178" s="15">
        <v>4</v>
      </c>
      <c r="B178" s="15">
        <v>2152</v>
      </c>
      <c r="C178" s="15"/>
      <c r="D178" s="10" t="s">
        <v>1777</v>
      </c>
      <c r="E178" s="10" t="s">
        <v>1778</v>
      </c>
      <c r="F178" s="11" t="s">
        <v>23</v>
      </c>
      <c r="G178" s="49">
        <v>2</v>
      </c>
    </row>
    <row r="179" s="21" customFormat="1" ht="21.5" customHeight="1" spans="1:7">
      <c r="A179" s="15">
        <v>5</v>
      </c>
      <c r="B179" s="15">
        <v>2152</v>
      </c>
      <c r="C179" s="15"/>
      <c r="D179" s="10" t="s">
        <v>1779</v>
      </c>
      <c r="E179" s="10" t="s">
        <v>1780</v>
      </c>
      <c r="F179" s="11" t="s">
        <v>12</v>
      </c>
      <c r="G179" s="49">
        <v>3</v>
      </c>
    </row>
    <row r="180" s="21" customFormat="1" ht="21.5" customHeight="1" spans="1:7">
      <c r="A180" s="15">
        <v>6</v>
      </c>
      <c r="B180" s="15">
        <v>2152</v>
      </c>
      <c r="C180" s="15"/>
      <c r="D180" s="10" t="s">
        <v>1636</v>
      </c>
      <c r="E180" s="10" t="s">
        <v>1781</v>
      </c>
      <c r="F180" s="11" t="s">
        <v>12</v>
      </c>
      <c r="G180" s="49">
        <v>2</v>
      </c>
    </row>
    <row r="181" s="21" customFormat="1" ht="21.5" customHeight="1" spans="1:7">
      <c r="A181" s="15">
        <v>7</v>
      </c>
      <c r="B181" s="15">
        <v>2152</v>
      </c>
      <c r="C181" s="15"/>
      <c r="D181" s="10" t="s">
        <v>1779</v>
      </c>
      <c r="E181" s="10" t="s">
        <v>1782</v>
      </c>
      <c r="F181" s="11" t="s">
        <v>12</v>
      </c>
      <c r="G181" s="49">
        <v>2</v>
      </c>
    </row>
    <row r="182" s="21" customFormat="1" ht="21.5" customHeight="1" spans="1:7">
      <c r="A182" s="15">
        <v>8</v>
      </c>
      <c r="B182" s="15">
        <v>2152</v>
      </c>
      <c r="C182" s="15"/>
      <c r="D182" s="10" t="s">
        <v>1636</v>
      </c>
      <c r="E182" s="10" t="s">
        <v>1783</v>
      </c>
      <c r="F182" s="11" t="s">
        <v>12</v>
      </c>
      <c r="G182" s="49">
        <v>2</v>
      </c>
    </row>
    <row r="183" s="21" customFormat="1" ht="21.5" customHeight="1" spans="1:7">
      <c r="A183" s="15">
        <v>9</v>
      </c>
      <c r="B183" s="15">
        <v>2152</v>
      </c>
      <c r="C183" s="15"/>
      <c r="D183" s="10" t="s">
        <v>1779</v>
      </c>
      <c r="E183" s="10" t="s">
        <v>1784</v>
      </c>
      <c r="F183" s="11" t="s">
        <v>12</v>
      </c>
      <c r="G183" s="49">
        <v>3</v>
      </c>
    </row>
    <row r="184" s="21" customFormat="1" ht="21.5" customHeight="1" spans="1:7">
      <c r="A184" s="15">
        <v>10</v>
      </c>
      <c r="B184" s="15">
        <v>2152</v>
      </c>
      <c r="C184" s="15"/>
      <c r="D184" s="10" t="s">
        <v>1636</v>
      </c>
      <c r="E184" s="10" t="s">
        <v>1785</v>
      </c>
      <c r="F184" s="11" t="s">
        <v>12</v>
      </c>
      <c r="G184" s="49">
        <v>1</v>
      </c>
    </row>
    <row r="185" s="21" customFormat="1" ht="21.5" customHeight="1" spans="1:7">
      <c r="A185" s="15">
        <v>11</v>
      </c>
      <c r="B185" s="15">
        <v>2152</v>
      </c>
      <c r="C185" s="15"/>
      <c r="D185" s="10" t="s">
        <v>1779</v>
      </c>
      <c r="E185" s="10" t="s">
        <v>1786</v>
      </c>
      <c r="F185" s="11" t="s">
        <v>12</v>
      </c>
      <c r="G185" s="49">
        <v>2</v>
      </c>
    </row>
    <row r="186" s="21" customFormat="1" ht="21.5" customHeight="1" spans="1:7">
      <c r="A186" s="15">
        <v>12</v>
      </c>
      <c r="B186" s="15">
        <v>2152</v>
      </c>
      <c r="C186" s="15"/>
      <c r="D186" s="10" t="s">
        <v>1787</v>
      </c>
      <c r="E186" s="10" t="s">
        <v>1788</v>
      </c>
      <c r="F186" s="11" t="s">
        <v>12</v>
      </c>
      <c r="G186" s="49">
        <v>2</v>
      </c>
    </row>
    <row r="187" s="21" customFormat="1" ht="21.5" customHeight="1" spans="1:7">
      <c r="A187" s="15">
        <v>13</v>
      </c>
      <c r="B187" s="15">
        <v>2152</v>
      </c>
      <c r="C187" s="15"/>
      <c r="D187" s="10" t="s">
        <v>1779</v>
      </c>
      <c r="E187" s="10" t="s">
        <v>1789</v>
      </c>
      <c r="F187" s="11" t="s">
        <v>12</v>
      </c>
      <c r="G187" s="49">
        <v>3</v>
      </c>
    </row>
    <row r="188" s="21" customFormat="1" ht="21.5" customHeight="1" spans="1:7">
      <c r="A188" s="15">
        <v>14</v>
      </c>
      <c r="B188" s="15">
        <v>2152</v>
      </c>
      <c r="C188" s="15"/>
      <c r="D188" s="10" t="s">
        <v>1787</v>
      </c>
      <c r="E188" s="10" t="s">
        <v>1790</v>
      </c>
      <c r="F188" s="11" t="s">
        <v>12</v>
      </c>
      <c r="G188" s="49">
        <v>1</v>
      </c>
    </row>
    <row r="189" s="21" customFormat="1" ht="21.5" customHeight="1" spans="1:7">
      <c r="A189" s="15">
        <v>15</v>
      </c>
      <c r="B189" s="15">
        <v>2152</v>
      </c>
      <c r="C189" s="15"/>
      <c r="D189" s="10" t="s">
        <v>1779</v>
      </c>
      <c r="E189" s="10" t="s">
        <v>1791</v>
      </c>
      <c r="F189" s="11" t="s">
        <v>12</v>
      </c>
      <c r="G189" s="49">
        <v>2</v>
      </c>
    </row>
    <row r="190" s="21" customFormat="1" ht="21.5" customHeight="1" spans="1:7">
      <c r="A190" s="15">
        <v>16</v>
      </c>
      <c r="B190" s="15">
        <v>2152</v>
      </c>
      <c r="C190" s="15"/>
      <c r="D190" s="10" t="s">
        <v>1787</v>
      </c>
      <c r="E190" s="10" t="s">
        <v>1792</v>
      </c>
      <c r="F190" s="11" t="s">
        <v>12</v>
      </c>
      <c r="G190" s="49">
        <v>1</v>
      </c>
    </row>
    <row r="191" s="21" customFormat="1" ht="21.5" customHeight="1" spans="1:7">
      <c r="A191" s="15">
        <v>17</v>
      </c>
      <c r="B191" s="15">
        <v>2152</v>
      </c>
      <c r="C191" s="15"/>
      <c r="D191" s="10" t="s">
        <v>1779</v>
      </c>
      <c r="E191" s="10" t="s">
        <v>1793</v>
      </c>
      <c r="F191" s="11" t="s">
        <v>12</v>
      </c>
      <c r="G191" s="49">
        <v>1</v>
      </c>
    </row>
    <row r="192" s="21" customFormat="1" ht="21.5" customHeight="1" spans="1:7">
      <c r="A192" s="15">
        <v>18</v>
      </c>
      <c r="B192" s="15">
        <v>2152</v>
      </c>
      <c r="C192" s="15"/>
      <c r="D192" s="10" t="s">
        <v>1787</v>
      </c>
      <c r="E192" s="10" t="s">
        <v>1794</v>
      </c>
      <c r="F192" s="11" t="s">
        <v>12</v>
      </c>
      <c r="G192" s="49">
        <v>1</v>
      </c>
    </row>
    <row r="193" s="21" customFormat="1" ht="21.5" customHeight="1" spans="1:7">
      <c r="A193" s="15">
        <v>19</v>
      </c>
      <c r="B193" s="15">
        <v>2152</v>
      </c>
      <c r="C193" s="15"/>
      <c r="D193" s="10" t="s">
        <v>1779</v>
      </c>
      <c r="E193" s="10" t="s">
        <v>1795</v>
      </c>
      <c r="F193" s="11" t="s">
        <v>12</v>
      </c>
      <c r="G193" s="49">
        <v>2</v>
      </c>
    </row>
    <row r="194" s="21" customFormat="1" ht="21.5" customHeight="1" spans="1:7">
      <c r="A194" s="15">
        <v>20</v>
      </c>
      <c r="B194" s="15">
        <v>2152</v>
      </c>
      <c r="C194" s="15"/>
      <c r="D194" s="10" t="s">
        <v>1787</v>
      </c>
      <c r="E194" s="10" t="s">
        <v>1796</v>
      </c>
      <c r="F194" s="11" t="s">
        <v>12</v>
      </c>
      <c r="G194" s="49">
        <v>2</v>
      </c>
    </row>
    <row r="195" s="21" customFormat="1" ht="21.5" customHeight="1" spans="1:7">
      <c r="A195" s="15">
        <v>21</v>
      </c>
      <c r="B195" s="15">
        <v>2152</v>
      </c>
      <c r="C195" s="15"/>
      <c r="D195" s="10" t="s">
        <v>1636</v>
      </c>
      <c r="E195" s="10" t="s">
        <v>1797</v>
      </c>
      <c r="F195" s="11" t="s">
        <v>12</v>
      </c>
      <c r="G195" s="49">
        <v>2</v>
      </c>
    </row>
    <row r="196" s="21" customFormat="1" ht="21.5" customHeight="1" spans="1:7">
      <c r="A196" s="15">
        <v>22</v>
      </c>
      <c r="B196" s="15">
        <v>2152</v>
      </c>
      <c r="C196" s="15"/>
      <c r="D196" s="10" t="s">
        <v>1779</v>
      </c>
      <c r="E196" s="10" t="s">
        <v>1798</v>
      </c>
      <c r="F196" s="11" t="s">
        <v>12</v>
      </c>
      <c r="G196" s="49">
        <v>2</v>
      </c>
    </row>
    <row r="197" s="21" customFormat="1" ht="21.5" customHeight="1" spans="1:7">
      <c r="A197" s="15">
        <v>23</v>
      </c>
      <c r="B197" s="15">
        <v>2152</v>
      </c>
      <c r="C197" s="15"/>
      <c r="D197" s="10" t="s">
        <v>1787</v>
      </c>
      <c r="E197" s="10" t="s">
        <v>1799</v>
      </c>
      <c r="F197" s="11" t="s">
        <v>12</v>
      </c>
      <c r="G197" s="49">
        <v>2</v>
      </c>
    </row>
    <row r="198" s="21" customFormat="1" ht="21.5" customHeight="1" spans="1:7">
      <c r="A198" s="15">
        <v>24</v>
      </c>
      <c r="B198" s="15">
        <v>2152</v>
      </c>
      <c r="C198" s="15"/>
      <c r="D198" s="10" t="s">
        <v>1779</v>
      </c>
      <c r="E198" s="10" t="s">
        <v>1800</v>
      </c>
      <c r="F198" s="11" t="s">
        <v>12</v>
      </c>
      <c r="G198" s="49">
        <v>2</v>
      </c>
    </row>
    <row r="199" s="21" customFormat="1" ht="21.5" customHeight="1" spans="1:7">
      <c r="A199" s="15">
        <v>25</v>
      </c>
      <c r="B199" s="15">
        <v>2152</v>
      </c>
      <c r="C199" s="15"/>
      <c r="D199" s="10" t="s">
        <v>1717</v>
      </c>
      <c r="E199" s="10" t="s">
        <v>1801</v>
      </c>
      <c r="F199" s="11" t="s">
        <v>12</v>
      </c>
      <c r="G199" s="49">
        <v>2</v>
      </c>
    </row>
    <row r="200" s="21" customFormat="1" ht="21.5" customHeight="1" spans="1:7">
      <c r="A200" s="15">
        <v>26</v>
      </c>
      <c r="B200" s="15">
        <v>2152</v>
      </c>
      <c r="C200" s="15"/>
      <c r="D200" s="10" t="s">
        <v>1779</v>
      </c>
      <c r="E200" s="10" t="s">
        <v>1802</v>
      </c>
      <c r="F200" s="11" t="s">
        <v>12</v>
      </c>
      <c r="G200" s="49">
        <v>1</v>
      </c>
    </row>
    <row r="201" s="21" customFormat="1" ht="21.5" customHeight="1" spans="1:7">
      <c r="A201" s="15">
        <v>27</v>
      </c>
      <c r="B201" s="15">
        <v>2152</v>
      </c>
      <c r="C201" s="15"/>
      <c r="D201" s="10" t="s">
        <v>1779</v>
      </c>
      <c r="E201" s="10" t="s">
        <v>1803</v>
      </c>
      <c r="F201" s="11" t="s">
        <v>12</v>
      </c>
      <c r="G201" s="49">
        <v>1</v>
      </c>
    </row>
    <row r="202" s="21" customFormat="1" ht="21.5" customHeight="1" spans="1:7">
      <c r="A202" s="15">
        <v>28</v>
      </c>
      <c r="B202" s="15">
        <v>2152</v>
      </c>
      <c r="C202" s="15"/>
      <c r="D202" s="10" t="s">
        <v>1804</v>
      </c>
      <c r="E202" s="10" t="s">
        <v>1805</v>
      </c>
      <c r="F202" s="11" t="s">
        <v>12</v>
      </c>
      <c r="G202" s="49">
        <v>1</v>
      </c>
    </row>
    <row r="203" s="21" customFormat="1" ht="21.5" customHeight="1" spans="1:7">
      <c r="A203" s="15">
        <v>29</v>
      </c>
      <c r="B203" s="15">
        <v>2152</v>
      </c>
      <c r="C203" s="15"/>
      <c r="D203" s="10" t="s">
        <v>1806</v>
      </c>
      <c r="E203" s="10" t="s">
        <v>1807</v>
      </c>
      <c r="F203" s="11" t="s">
        <v>12</v>
      </c>
      <c r="G203" s="49">
        <v>18</v>
      </c>
    </row>
    <row r="204" s="21" customFormat="1" ht="21.5" customHeight="1" spans="1:7">
      <c r="A204" s="15">
        <v>30</v>
      </c>
      <c r="B204" s="15">
        <v>2152</v>
      </c>
      <c r="C204" s="15"/>
      <c r="D204" s="10" t="s">
        <v>1808</v>
      </c>
      <c r="E204" s="10" t="s">
        <v>1809</v>
      </c>
      <c r="F204" s="11" t="s">
        <v>12</v>
      </c>
      <c r="G204" s="49">
        <v>6</v>
      </c>
    </row>
    <row r="205" s="21" customFormat="1" ht="21.5" customHeight="1" spans="1:7">
      <c r="A205" s="15">
        <v>31</v>
      </c>
      <c r="B205" s="15">
        <v>2152</v>
      </c>
      <c r="C205" s="15"/>
      <c r="D205" s="10" t="s">
        <v>1806</v>
      </c>
      <c r="E205" s="10" t="s">
        <v>1810</v>
      </c>
      <c r="F205" s="11" t="s">
        <v>12</v>
      </c>
      <c r="G205" s="49">
        <v>30</v>
      </c>
    </row>
    <row r="206" s="21" customFormat="1" ht="21.5" customHeight="1" spans="1:7">
      <c r="A206" s="15">
        <v>32</v>
      </c>
      <c r="B206" s="15">
        <v>2152</v>
      </c>
      <c r="C206" s="15"/>
      <c r="D206" s="10" t="s">
        <v>1808</v>
      </c>
      <c r="E206" s="10" t="s">
        <v>1811</v>
      </c>
      <c r="F206" s="11" t="s">
        <v>12</v>
      </c>
      <c r="G206" s="49">
        <v>10</v>
      </c>
    </row>
    <row r="207" s="21" customFormat="1" ht="21.5" customHeight="1" spans="1:7">
      <c r="A207" s="15">
        <v>33</v>
      </c>
      <c r="B207" s="15">
        <v>2152</v>
      </c>
      <c r="C207" s="15"/>
      <c r="D207" s="10" t="s">
        <v>1806</v>
      </c>
      <c r="E207" s="10" t="s">
        <v>1812</v>
      </c>
      <c r="F207" s="11" t="s">
        <v>12</v>
      </c>
      <c r="G207" s="49">
        <v>3</v>
      </c>
    </row>
    <row r="208" s="21" customFormat="1" ht="21.5" customHeight="1" spans="1:7">
      <c r="A208" s="15">
        <v>34</v>
      </c>
      <c r="B208" s="15">
        <v>2152</v>
      </c>
      <c r="C208" s="15"/>
      <c r="D208" s="10" t="s">
        <v>1808</v>
      </c>
      <c r="E208" s="10" t="s">
        <v>1813</v>
      </c>
      <c r="F208" s="11" t="s">
        <v>12</v>
      </c>
      <c r="G208" s="49">
        <v>1</v>
      </c>
    </row>
    <row r="209" s="21" customFormat="1" ht="21.5" customHeight="1" spans="1:7">
      <c r="A209" s="15">
        <v>35</v>
      </c>
      <c r="B209" s="15">
        <v>2152</v>
      </c>
      <c r="C209" s="15"/>
      <c r="D209" s="10" t="s">
        <v>1808</v>
      </c>
      <c r="E209" s="10" t="s">
        <v>1814</v>
      </c>
      <c r="F209" s="11" t="s">
        <v>12</v>
      </c>
      <c r="G209" s="49">
        <v>4</v>
      </c>
    </row>
    <row r="210" s="21" customFormat="1" ht="21.5" customHeight="1" spans="1:7">
      <c r="A210" s="15">
        <v>36</v>
      </c>
      <c r="B210" s="15">
        <v>2152</v>
      </c>
      <c r="C210" s="15"/>
      <c r="D210" s="10" t="s">
        <v>1806</v>
      </c>
      <c r="E210" s="10" t="s">
        <v>1815</v>
      </c>
      <c r="F210" s="11" t="s">
        <v>12</v>
      </c>
      <c r="G210" s="49">
        <v>6</v>
      </c>
    </row>
    <row r="211" s="21" customFormat="1" ht="21.5" customHeight="1" spans="1:7">
      <c r="A211" s="15">
        <v>37</v>
      </c>
      <c r="B211" s="15">
        <v>2152</v>
      </c>
      <c r="C211" s="15"/>
      <c r="D211" s="10" t="s">
        <v>1599</v>
      </c>
      <c r="E211" s="10">
        <v>0</v>
      </c>
      <c r="F211" s="11" t="s">
        <v>23</v>
      </c>
      <c r="G211" s="49">
        <v>1</v>
      </c>
    </row>
    <row r="212" s="21" customFormat="1" ht="21.5" customHeight="1" spans="1:7">
      <c r="A212" s="15"/>
      <c r="B212" s="15"/>
      <c r="C212" s="15"/>
      <c r="D212" s="46" t="s">
        <v>823</v>
      </c>
      <c r="E212" s="46"/>
      <c r="F212" s="42"/>
      <c r="G212" s="47"/>
    </row>
    <row r="213" s="21" customFormat="1" ht="21.5" customHeight="1" spans="1:7">
      <c r="A213" s="15">
        <v>1</v>
      </c>
      <c r="B213" s="15">
        <v>2152</v>
      </c>
      <c r="C213" s="87" t="s">
        <v>824</v>
      </c>
      <c r="D213" s="46" t="s">
        <v>1759</v>
      </c>
      <c r="E213" s="46" t="s">
        <v>1760</v>
      </c>
      <c r="F213" s="42" t="s">
        <v>23</v>
      </c>
      <c r="G213" s="47">
        <v>1</v>
      </c>
    </row>
    <row r="214" s="21" customFormat="1" ht="21.5" customHeight="1" spans="1:7">
      <c r="A214" s="15">
        <v>2</v>
      </c>
      <c r="B214" s="15">
        <v>2152</v>
      </c>
      <c r="C214" s="87" t="s">
        <v>824</v>
      </c>
      <c r="D214" s="46" t="s">
        <v>1761</v>
      </c>
      <c r="E214" s="46" t="s">
        <v>1762</v>
      </c>
      <c r="F214" s="42" t="s">
        <v>23</v>
      </c>
      <c r="G214" s="47">
        <v>1</v>
      </c>
    </row>
    <row r="215" s="21" customFormat="1" ht="21.5" customHeight="1" spans="1:7">
      <c r="A215" s="15">
        <v>3</v>
      </c>
      <c r="B215" s="15">
        <v>2152</v>
      </c>
      <c r="C215" s="87" t="s">
        <v>865</v>
      </c>
      <c r="D215" s="46" t="s">
        <v>1765</v>
      </c>
      <c r="E215" s="46"/>
      <c r="F215" s="42" t="s">
        <v>23</v>
      </c>
      <c r="G215" s="47">
        <v>1</v>
      </c>
    </row>
    <row r="216" s="21" customFormat="1" ht="21.5" customHeight="1" spans="1:7">
      <c r="A216" s="15">
        <v>4</v>
      </c>
      <c r="B216" s="15">
        <v>2152</v>
      </c>
      <c r="C216" s="87" t="s">
        <v>1457</v>
      </c>
      <c r="D216" s="46" t="s">
        <v>1766</v>
      </c>
      <c r="E216" s="46" t="s">
        <v>1767</v>
      </c>
      <c r="F216" s="42" t="s">
        <v>23</v>
      </c>
      <c r="G216" s="47">
        <v>1</v>
      </c>
    </row>
    <row r="217" s="21" customFormat="1" ht="21.5" customHeight="1" spans="1:7">
      <c r="A217" s="15">
        <v>5</v>
      </c>
      <c r="B217" s="15">
        <v>2152</v>
      </c>
      <c r="C217" s="87" t="s">
        <v>839</v>
      </c>
      <c r="D217" s="46" t="s">
        <v>839</v>
      </c>
      <c r="E217" s="46" t="s">
        <v>1584</v>
      </c>
      <c r="F217" s="42" t="s">
        <v>1313</v>
      </c>
      <c r="G217" s="47">
        <v>140</v>
      </c>
    </row>
    <row r="218" s="21" customFormat="1" ht="21.5" customHeight="1" spans="1:7">
      <c r="A218" s="15">
        <v>6</v>
      </c>
      <c r="B218" s="15">
        <v>2152</v>
      </c>
      <c r="C218" s="87" t="s">
        <v>842</v>
      </c>
      <c r="D218" s="46" t="s">
        <v>1585</v>
      </c>
      <c r="E218" s="46"/>
      <c r="F218" s="42" t="s">
        <v>1316</v>
      </c>
      <c r="G218" s="47">
        <v>450</v>
      </c>
    </row>
    <row r="219" s="21" customFormat="1" ht="21.5" customHeight="1" spans="1:7">
      <c r="A219" s="15">
        <v>7</v>
      </c>
      <c r="B219" s="15">
        <v>2152</v>
      </c>
      <c r="C219" s="87" t="s">
        <v>842</v>
      </c>
      <c r="D219" s="46" t="s">
        <v>1816</v>
      </c>
      <c r="E219" s="46"/>
      <c r="F219" s="42" t="s">
        <v>1316</v>
      </c>
      <c r="G219" s="47">
        <v>535</v>
      </c>
    </row>
    <row r="220" s="21" customFormat="1" ht="21.5" customHeight="1" spans="1:7">
      <c r="A220" s="15"/>
      <c r="B220" s="15"/>
      <c r="C220" s="15"/>
      <c r="D220" s="46"/>
      <c r="E220" s="46"/>
      <c r="F220" s="42"/>
      <c r="G220" s="47"/>
    </row>
    <row r="221" s="21" customFormat="1" ht="21.5" customHeight="1" spans="1:7">
      <c r="A221" s="12"/>
      <c r="B221" s="12"/>
      <c r="C221" s="12"/>
      <c r="D221" s="13" t="s">
        <v>34</v>
      </c>
      <c r="E221" s="13"/>
      <c r="F221" s="14"/>
      <c r="G221" s="48"/>
    </row>
    <row r="222" s="21" customFormat="1" ht="21.5" customHeight="1" spans="1:7">
      <c r="A222" s="87" t="s">
        <v>35</v>
      </c>
      <c r="B222" s="15">
        <v>2161</v>
      </c>
      <c r="C222" s="15"/>
      <c r="D222" s="46" t="s">
        <v>1817</v>
      </c>
      <c r="E222" s="46"/>
      <c r="F222" s="42"/>
      <c r="G222" s="47"/>
    </row>
    <row r="223" s="21" customFormat="1" ht="21.5" customHeight="1" spans="1:7">
      <c r="A223" s="15"/>
      <c r="B223" s="15">
        <v>2161</v>
      </c>
      <c r="C223" s="15"/>
      <c r="D223" s="46" t="s">
        <v>1423</v>
      </c>
      <c r="E223" s="46"/>
      <c r="F223" s="42"/>
      <c r="G223" s="47"/>
    </row>
    <row r="224" s="21" customFormat="1" ht="21.5" customHeight="1" spans="1:7">
      <c r="A224" s="15">
        <v>1</v>
      </c>
      <c r="B224" s="15">
        <v>2161</v>
      </c>
      <c r="C224" s="15"/>
      <c r="D224" s="46" t="s">
        <v>1563</v>
      </c>
      <c r="E224" s="46"/>
      <c r="F224" s="42"/>
      <c r="G224" s="47"/>
    </row>
    <row r="225" s="21" customFormat="1" ht="21.5" customHeight="1" spans="1:7">
      <c r="A225" s="87" t="s">
        <v>113</v>
      </c>
      <c r="B225" s="15">
        <v>2161</v>
      </c>
      <c r="C225" s="15"/>
      <c r="D225" s="46" t="s">
        <v>1564</v>
      </c>
      <c r="E225" s="46" t="s">
        <v>1568</v>
      </c>
      <c r="F225" s="47" t="s">
        <v>23</v>
      </c>
      <c r="G225" s="50">
        <v>1</v>
      </c>
    </row>
    <row r="226" s="21" customFormat="1" ht="21.5" customHeight="1" spans="1:7">
      <c r="A226" s="87" t="s">
        <v>116</v>
      </c>
      <c r="B226" s="15">
        <v>2161</v>
      </c>
      <c r="C226" s="15"/>
      <c r="D226" s="46" t="s">
        <v>1566</v>
      </c>
      <c r="E226" s="46" t="s">
        <v>1569</v>
      </c>
      <c r="F226" s="47" t="s">
        <v>23</v>
      </c>
      <c r="G226" s="50">
        <v>3</v>
      </c>
    </row>
    <row r="227" s="21" customFormat="1" ht="21.5" customHeight="1" spans="1:7">
      <c r="A227" s="15"/>
      <c r="B227" s="15">
        <v>2161</v>
      </c>
      <c r="C227" s="15"/>
      <c r="D227" s="46" t="s">
        <v>823</v>
      </c>
      <c r="E227" s="10"/>
      <c r="F227" s="42"/>
      <c r="G227" s="47"/>
    </row>
    <row r="228" s="21" customFormat="1" ht="21.5" customHeight="1" spans="1:7">
      <c r="A228" s="15">
        <v>1</v>
      </c>
      <c r="B228" s="15">
        <v>2161</v>
      </c>
      <c r="C228" s="87" t="s">
        <v>824</v>
      </c>
      <c r="D228" s="46" t="s">
        <v>824</v>
      </c>
      <c r="E228" s="46" t="s">
        <v>1580</v>
      </c>
      <c r="F228" s="47" t="s">
        <v>23</v>
      </c>
      <c r="G228" s="47">
        <v>1</v>
      </c>
    </row>
    <row r="229" s="21" customFormat="1" ht="21.5" customHeight="1" spans="1:7">
      <c r="A229" s="15">
        <v>3</v>
      </c>
      <c r="B229" s="15">
        <v>2161</v>
      </c>
      <c r="C229" s="87" t="s">
        <v>865</v>
      </c>
      <c r="D229" s="46" t="s">
        <v>1818</v>
      </c>
      <c r="E229" s="46"/>
      <c r="F229" s="47" t="s">
        <v>23</v>
      </c>
      <c r="G229" s="47">
        <v>1</v>
      </c>
    </row>
    <row r="230" s="21" customFormat="1" ht="21.5" customHeight="1" spans="1:7">
      <c r="A230" s="15">
        <v>4</v>
      </c>
      <c r="B230" s="15">
        <v>2161</v>
      </c>
      <c r="C230" s="87" t="s">
        <v>1457</v>
      </c>
      <c r="D230" s="46" t="s">
        <v>1581</v>
      </c>
      <c r="E230" s="46" t="s">
        <v>1582</v>
      </c>
      <c r="F230" s="47" t="s">
        <v>23</v>
      </c>
      <c r="G230" s="47">
        <v>1</v>
      </c>
    </row>
    <row r="231" s="21" customFormat="1" ht="21.5" customHeight="1" spans="1:7">
      <c r="A231" s="15">
        <v>5</v>
      </c>
      <c r="B231" s="15">
        <v>2161</v>
      </c>
      <c r="C231" s="87" t="s">
        <v>839</v>
      </c>
      <c r="D231" s="46" t="s">
        <v>839</v>
      </c>
      <c r="E231" s="46" t="s">
        <v>1584</v>
      </c>
      <c r="F231" s="42" t="s">
        <v>1313</v>
      </c>
      <c r="G231" s="47">
        <v>17</v>
      </c>
    </row>
    <row r="232" s="21" customFormat="1" ht="21.5" customHeight="1" spans="1:7">
      <c r="A232" s="15">
        <v>6</v>
      </c>
      <c r="B232" s="15">
        <v>2161</v>
      </c>
      <c r="C232" s="87" t="s">
        <v>842</v>
      </c>
      <c r="D232" s="46" t="s">
        <v>1585</v>
      </c>
      <c r="E232" s="46"/>
      <c r="F232" s="42" t="s">
        <v>1316</v>
      </c>
      <c r="G232" s="47">
        <v>478</v>
      </c>
    </row>
    <row r="233" s="21" customFormat="1" ht="21.5" customHeight="1" spans="1:7">
      <c r="A233" s="15"/>
      <c r="B233" s="15"/>
      <c r="C233" s="15"/>
      <c r="D233" s="46"/>
      <c r="E233" s="46"/>
      <c r="F233" s="42"/>
      <c r="G233" s="47"/>
    </row>
    <row r="234" s="21" customFormat="1" ht="21.5" customHeight="1" spans="1:7">
      <c r="A234" s="12"/>
      <c r="B234" s="12"/>
      <c r="C234" s="12"/>
      <c r="D234" s="13" t="s">
        <v>34</v>
      </c>
      <c r="E234" s="13"/>
      <c r="F234" s="14"/>
      <c r="G234" s="48"/>
    </row>
    <row r="235" s="21" customFormat="1" ht="21.5" customHeight="1" spans="1:7">
      <c r="A235" s="12"/>
      <c r="B235" s="12"/>
      <c r="C235" s="12"/>
      <c r="D235" s="13" t="s">
        <v>661</v>
      </c>
      <c r="E235" s="13"/>
      <c r="F235" s="14"/>
      <c r="G235" s="48"/>
    </row>
  </sheetData>
  <autoFilter xmlns:etc="http://www.wps.cn/officeDocument/2017/etCustomData" ref="A3:L235" etc:filterBottomFollowUsedRange="0">
    <extLst/>
  </autoFilter>
  <mergeCells count="7"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145"/>
  <sheetViews>
    <sheetView zoomScale="160" zoomScaleNormal="160" workbookViewId="0">
      <pane xSplit="4" ySplit="2" topLeftCell="E48" activePane="bottomRight" state="frozen"/>
      <selection/>
      <selection pane="topRight"/>
      <selection pane="bottomLeft"/>
      <selection pane="bottomRight" activeCell="A1" sqref="$A1:$XFD1"/>
    </sheetView>
  </sheetViews>
  <sheetFormatPr defaultColWidth="8.8" defaultRowHeight="12" outlineLevelCol="6"/>
  <cols>
    <col min="1" max="2" width="8.8" style="2"/>
    <col min="3" max="3" width="12.2" style="2" customWidth="1"/>
    <col min="4" max="4" width="20.8" style="2" customWidth="1"/>
    <col min="5" max="5" width="256" style="2" customWidth="1"/>
    <col min="6" max="6" width="8.8" style="2"/>
    <col min="7" max="7" width="11.2" style="2" customWidth="1"/>
    <col min="8" max="16384" width="8.8" style="2"/>
  </cols>
  <sheetData>
    <row r="1" ht="22" customHeight="1" spans="1:7">
      <c r="A1" s="15" t="s">
        <v>0</v>
      </c>
      <c r="B1" s="15"/>
      <c r="C1" s="15"/>
      <c r="D1" s="15" t="s">
        <v>3</v>
      </c>
      <c r="E1" s="15" t="s">
        <v>4</v>
      </c>
      <c r="F1" s="15" t="s">
        <v>5</v>
      </c>
      <c r="G1" s="15" t="s">
        <v>6</v>
      </c>
    </row>
    <row r="2" ht="22" customHeight="1" spans="1:7">
      <c r="A2" s="15"/>
      <c r="B2" s="15"/>
      <c r="C2" s="15"/>
      <c r="D2" s="15"/>
      <c r="E2" s="15"/>
      <c r="F2" s="15"/>
      <c r="G2" s="15"/>
    </row>
    <row r="3" s="21" customFormat="1" ht="21.5" customHeight="1" spans="1:7">
      <c r="A3" s="3" t="s">
        <v>35</v>
      </c>
      <c r="B3" s="3"/>
      <c r="C3" s="3"/>
      <c r="D3" s="22" t="s">
        <v>1819</v>
      </c>
      <c r="E3" s="22" t="s">
        <v>1820</v>
      </c>
      <c r="F3" s="23"/>
      <c r="G3" s="23"/>
    </row>
    <row r="4" s="21" customFormat="1" ht="21.5" customHeight="1" spans="1:7">
      <c r="A4" s="3">
        <v>1</v>
      </c>
      <c r="B4" s="3">
        <v>2102</v>
      </c>
      <c r="C4" s="3"/>
      <c r="D4" s="22" t="s">
        <v>1821</v>
      </c>
      <c r="E4" s="22" t="s">
        <v>1822</v>
      </c>
      <c r="F4" s="23" t="s">
        <v>12</v>
      </c>
      <c r="G4" s="23">
        <v>2</v>
      </c>
    </row>
    <row r="5" s="21" customFormat="1" ht="21.5" customHeight="1" spans="1:7">
      <c r="A5" s="3">
        <v>2</v>
      </c>
      <c r="B5" s="3">
        <v>2102</v>
      </c>
      <c r="C5" s="3"/>
      <c r="D5" s="22" t="s">
        <v>1823</v>
      </c>
      <c r="E5" s="22" t="s">
        <v>1824</v>
      </c>
      <c r="F5" s="23" t="s">
        <v>12</v>
      </c>
      <c r="G5" s="23">
        <v>3</v>
      </c>
    </row>
    <row r="6" s="21" customFormat="1" ht="21.5" customHeight="1" spans="1:7">
      <c r="A6" s="3"/>
      <c r="B6" s="3">
        <v>2102</v>
      </c>
      <c r="C6" s="3"/>
      <c r="D6" s="22" t="s">
        <v>1825</v>
      </c>
      <c r="E6" s="22" t="s">
        <v>1826</v>
      </c>
      <c r="F6" s="23" t="s">
        <v>12</v>
      </c>
      <c r="G6" s="23">
        <v>6</v>
      </c>
    </row>
    <row r="7" s="21" customFormat="1" ht="21.5" customHeight="1" spans="1:7">
      <c r="A7" s="3"/>
      <c r="B7" s="3">
        <v>2102</v>
      </c>
      <c r="C7" s="3"/>
      <c r="D7" s="22" t="s">
        <v>1827</v>
      </c>
      <c r="E7" s="22" t="s">
        <v>1828</v>
      </c>
      <c r="F7" s="23" t="s">
        <v>12</v>
      </c>
      <c r="G7" s="23">
        <v>1</v>
      </c>
    </row>
    <row r="8" s="21" customFormat="1" ht="21.5" customHeight="1" spans="1:7">
      <c r="A8" s="3"/>
      <c r="B8" s="3">
        <v>2102</v>
      </c>
      <c r="C8" s="3"/>
      <c r="D8" s="22" t="s">
        <v>1829</v>
      </c>
      <c r="E8" s="22" t="s">
        <v>1830</v>
      </c>
      <c r="F8" s="23" t="s">
        <v>12</v>
      </c>
      <c r="G8" s="23">
        <v>2</v>
      </c>
    </row>
    <row r="9" s="21" customFormat="1" ht="21.5" customHeight="1" spans="1:7">
      <c r="A9" s="3">
        <v>3</v>
      </c>
      <c r="B9" s="3">
        <v>2102</v>
      </c>
      <c r="C9" s="3"/>
      <c r="D9" s="22" t="s">
        <v>1831</v>
      </c>
      <c r="E9" s="22" t="s">
        <v>1832</v>
      </c>
      <c r="F9" s="23" t="s">
        <v>12</v>
      </c>
      <c r="G9" s="23">
        <v>12</v>
      </c>
    </row>
    <row r="10" s="21" customFormat="1" ht="21.5" customHeight="1" spans="1:7">
      <c r="A10" s="3"/>
      <c r="B10" s="3"/>
      <c r="C10" s="3"/>
      <c r="D10" s="22"/>
      <c r="E10" s="22"/>
      <c r="F10" s="23"/>
      <c r="G10" s="23"/>
    </row>
    <row r="11" s="21" customFormat="1" ht="21.5" customHeight="1" spans="1:7">
      <c r="A11" s="3">
        <v>1</v>
      </c>
      <c r="B11" s="3">
        <v>2102</v>
      </c>
      <c r="C11" s="3" t="s">
        <v>1833</v>
      </c>
      <c r="D11" s="22" t="s">
        <v>1834</v>
      </c>
      <c r="E11" s="22" t="s">
        <v>1835</v>
      </c>
      <c r="F11" s="23" t="s">
        <v>1462</v>
      </c>
      <c r="G11" s="23">
        <v>0</v>
      </c>
    </row>
    <row r="12" s="21" customFormat="1" ht="21.5" customHeight="1" spans="1:7">
      <c r="A12" s="3"/>
      <c r="B12" s="3">
        <v>2102</v>
      </c>
      <c r="C12" s="3" t="s">
        <v>1833</v>
      </c>
      <c r="D12" s="22"/>
      <c r="E12" s="22" t="s">
        <v>1836</v>
      </c>
      <c r="F12" s="23" t="s">
        <v>1462</v>
      </c>
      <c r="G12" s="23">
        <v>1223</v>
      </c>
    </row>
    <row r="13" s="21" customFormat="1" ht="21.5" customHeight="1" spans="1:7">
      <c r="A13" s="3"/>
      <c r="B13" s="3">
        <v>2102</v>
      </c>
      <c r="C13" s="3" t="s">
        <v>1833</v>
      </c>
      <c r="D13" s="22"/>
      <c r="E13" s="22" t="s">
        <v>1837</v>
      </c>
      <c r="F13" s="23" t="s">
        <v>1462</v>
      </c>
      <c r="G13" s="23">
        <v>1065</v>
      </c>
    </row>
    <row r="14" s="21" customFormat="1" ht="21.5" customHeight="1" spans="1:7">
      <c r="A14" s="3"/>
      <c r="B14" s="3">
        <v>2102</v>
      </c>
      <c r="C14" s="3" t="s">
        <v>1833</v>
      </c>
      <c r="D14" s="22"/>
      <c r="E14" s="22" t="s">
        <v>1838</v>
      </c>
      <c r="F14" s="23" t="s">
        <v>1462</v>
      </c>
      <c r="G14" s="23">
        <v>353</v>
      </c>
    </row>
    <row r="15" s="21" customFormat="1" ht="21.5" customHeight="1" spans="1:7">
      <c r="A15" s="3"/>
      <c r="B15" s="3">
        <v>2102</v>
      </c>
      <c r="C15" s="3" t="s">
        <v>1839</v>
      </c>
      <c r="D15" s="22" t="s">
        <v>1839</v>
      </c>
      <c r="E15" s="22" t="s">
        <v>1840</v>
      </c>
      <c r="F15" s="23" t="s">
        <v>26</v>
      </c>
      <c r="G15" s="23">
        <v>0</v>
      </c>
    </row>
    <row r="16" s="21" customFormat="1" ht="21.5" customHeight="1" spans="1:7">
      <c r="A16" s="3"/>
      <c r="B16" s="3">
        <v>2102</v>
      </c>
      <c r="C16" s="3" t="s">
        <v>1839</v>
      </c>
      <c r="D16" s="22"/>
      <c r="E16" s="22" t="s">
        <v>1841</v>
      </c>
      <c r="F16" s="23" t="s">
        <v>26</v>
      </c>
      <c r="G16" s="23">
        <v>48</v>
      </c>
    </row>
    <row r="17" s="21" customFormat="1" ht="21.5" customHeight="1" spans="1:7">
      <c r="A17" s="3"/>
      <c r="B17" s="3">
        <v>2102</v>
      </c>
      <c r="C17" s="3" t="s">
        <v>1839</v>
      </c>
      <c r="D17" s="22"/>
      <c r="E17" s="22" t="s">
        <v>1842</v>
      </c>
      <c r="F17" s="23" t="s">
        <v>26</v>
      </c>
      <c r="G17" s="23">
        <v>32</v>
      </c>
    </row>
    <row r="18" s="21" customFormat="1" ht="21.5" customHeight="1" spans="1:7">
      <c r="A18" s="3">
        <v>2</v>
      </c>
      <c r="B18" s="3">
        <v>2102</v>
      </c>
      <c r="C18" s="3" t="s">
        <v>1843</v>
      </c>
      <c r="D18" s="22" t="s">
        <v>1844</v>
      </c>
      <c r="E18" s="22" t="s">
        <v>1845</v>
      </c>
      <c r="F18" s="23" t="s">
        <v>1462</v>
      </c>
      <c r="G18" s="23">
        <v>100</v>
      </c>
    </row>
    <row r="19" s="21" customFormat="1" ht="21.5" customHeight="1" spans="1:7">
      <c r="A19" s="3"/>
      <c r="B19" s="3">
        <v>2102</v>
      </c>
      <c r="C19" s="3" t="s">
        <v>1843</v>
      </c>
      <c r="D19" s="22"/>
      <c r="E19" s="22" t="s">
        <v>1846</v>
      </c>
      <c r="F19" s="23" t="s">
        <v>1462</v>
      </c>
      <c r="G19" s="23">
        <v>80</v>
      </c>
    </row>
    <row r="20" s="21" customFormat="1" ht="21.5" customHeight="1" spans="1:7">
      <c r="A20" s="3">
        <v>3</v>
      </c>
      <c r="B20" s="3">
        <v>2102</v>
      </c>
      <c r="C20" s="3" t="s">
        <v>1847</v>
      </c>
      <c r="D20" s="22" t="s">
        <v>1847</v>
      </c>
      <c r="E20" s="22" t="s">
        <v>1848</v>
      </c>
      <c r="F20" s="23" t="s">
        <v>1462</v>
      </c>
      <c r="G20" s="23">
        <v>200</v>
      </c>
    </row>
    <row r="21" s="21" customFormat="1" ht="21.5" customHeight="1" spans="1:7">
      <c r="A21" s="3"/>
      <c r="B21" s="3"/>
      <c r="C21" s="3"/>
      <c r="D21" s="22"/>
      <c r="E21" s="22"/>
      <c r="F21" s="23"/>
      <c r="G21" s="23"/>
    </row>
    <row r="22" s="21" customFormat="1" ht="21" customHeight="1" spans="1:7">
      <c r="A22" s="12"/>
      <c r="B22" s="12"/>
      <c r="C22" s="12"/>
      <c r="D22" s="14" t="s">
        <v>34</v>
      </c>
      <c r="E22" s="13"/>
      <c r="F22" s="14"/>
      <c r="G22" s="14"/>
    </row>
    <row r="23" s="21" customFormat="1" ht="21.5" customHeight="1" spans="1:7">
      <c r="A23" s="3" t="s">
        <v>7</v>
      </c>
      <c r="B23" s="3"/>
      <c r="C23" s="3"/>
      <c r="D23" s="22" t="s">
        <v>1849</v>
      </c>
      <c r="E23" s="22" t="s">
        <v>1820</v>
      </c>
      <c r="F23" s="23"/>
      <c r="G23" s="23"/>
    </row>
    <row r="24" s="21" customFormat="1" ht="21.5" customHeight="1" spans="1:7">
      <c r="A24" s="3">
        <v>1</v>
      </c>
      <c r="B24" s="3">
        <v>2105</v>
      </c>
      <c r="C24" s="3"/>
      <c r="D24" s="22" t="s">
        <v>1850</v>
      </c>
      <c r="E24" s="22" t="s">
        <v>1851</v>
      </c>
      <c r="F24" s="23" t="s">
        <v>12</v>
      </c>
      <c r="G24" s="23">
        <v>2</v>
      </c>
    </row>
    <row r="25" s="21" customFormat="1" ht="21.5" customHeight="1" spans="1:7">
      <c r="A25" s="3"/>
      <c r="B25" s="3">
        <v>2105</v>
      </c>
      <c r="C25" s="3"/>
      <c r="D25" s="22" t="s">
        <v>1852</v>
      </c>
      <c r="E25" s="22" t="s">
        <v>1853</v>
      </c>
      <c r="F25" s="23" t="s">
        <v>12</v>
      </c>
      <c r="G25" s="23">
        <v>1</v>
      </c>
    </row>
    <row r="26" s="21" customFormat="1" ht="21.5" customHeight="1" spans="1:7">
      <c r="A26" s="3"/>
      <c r="B26" s="3">
        <v>2105</v>
      </c>
      <c r="C26" s="3"/>
      <c r="D26" s="22" t="s">
        <v>1854</v>
      </c>
      <c r="E26" s="22" t="s">
        <v>1855</v>
      </c>
      <c r="F26" s="23" t="s">
        <v>12</v>
      </c>
      <c r="G26" s="23">
        <v>23</v>
      </c>
    </row>
    <row r="27" s="21" customFormat="1" ht="21.5" customHeight="1" spans="1:7">
      <c r="A27" s="3"/>
      <c r="B27" s="3">
        <v>2105</v>
      </c>
      <c r="C27" s="3"/>
      <c r="D27" s="22" t="s">
        <v>1856</v>
      </c>
      <c r="E27" s="22" t="s">
        <v>1857</v>
      </c>
      <c r="F27" s="23" t="s">
        <v>12</v>
      </c>
      <c r="G27" s="23">
        <v>1</v>
      </c>
    </row>
    <row r="28" s="21" customFormat="1" ht="21.5" customHeight="1" spans="1:7">
      <c r="A28" s="3"/>
      <c r="B28" s="3">
        <v>2105</v>
      </c>
      <c r="C28" s="3"/>
      <c r="D28" s="22" t="s">
        <v>1858</v>
      </c>
      <c r="E28" s="22" t="s">
        <v>1859</v>
      </c>
      <c r="F28" s="23" t="s">
        <v>12</v>
      </c>
      <c r="G28" s="23">
        <v>2</v>
      </c>
    </row>
    <row r="29" s="21" customFormat="1" ht="21.5" customHeight="1" spans="1:7">
      <c r="A29" s="3">
        <v>2</v>
      </c>
      <c r="B29" s="3">
        <v>2105</v>
      </c>
      <c r="C29" s="3"/>
      <c r="D29" s="22" t="s">
        <v>1860</v>
      </c>
      <c r="E29" s="22" t="s">
        <v>1861</v>
      </c>
      <c r="F29" s="23" t="s">
        <v>23</v>
      </c>
      <c r="G29" s="23">
        <v>1</v>
      </c>
    </row>
    <row r="30" s="21" customFormat="1" ht="21.5" customHeight="1" spans="1:7">
      <c r="A30" s="3">
        <v>3</v>
      </c>
      <c r="B30" s="3">
        <v>2105</v>
      </c>
      <c r="C30" s="3"/>
      <c r="D30" s="22" t="s">
        <v>1862</v>
      </c>
      <c r="E30" s="22" t="s">
        <v>1863</v>
      </c>
      <c r="F30" s="23" t="s">
        <v>23</v>
      </c>
      <c r="G30" s="23">
        <v>1</v>
      </c>
    </row>
    <row r="31" s="21" customFormat="1" ht="21.5" customHeight="1" spans="1:7">
      <c r="A31" s="3">
        <v>4</v>
      </c>
      <c r="B31" s="3">
        <v>2105</v>
      </c>
      <c r="C31" s="3"/>
      <c r="D31" s="22" t="s">
        <v>1864</v>
      </c>
      <c r="E31" s="22" t="s">
        <v>1865</v>
      </c>
      <c r="F31" s="23" t="s">
        <v>23</v>
      </c>
      <c r="G31" s="23">
        <v>1</v>
      </c>
    </row>
    <row r="32" s="21" customFormat="1" ht="21.5" customHeight="1" spans="1:7">
      <c r="A32" s="3">
        <v>5</v>
      </c>
      <c r="B32" s="3">
        <v>2105</v>
      </c>
      <c r="C32" s="3"/>
      <c r="D32" s="22" t="s">
        <v>1866</v>
      </c>
      <c r="E32" s="22" t="s">
        <v>1867</v>
      </c>
      <c r="F32" s="23" t="s">
        <v>23</v>
      </c>
      <c r="G32" s="23">
        <v>2</v>
      </c>
    </row>
    <row r="33" s="21" customFormat="1" ht="42" customHeight="1" spans="1:7">
      <c r="A33" s="3">
        <v>6</v>
      </c>
      <c r="B33" s="3">
        <v>2105</v>
      </c>
      <c r="C33" s="3"/>
      <c r="D33" s="22" t="s">
        <v>1868</v>
      </c>
      <c r="E33" s="22" t="s">
        <v>1869</v>
      </c>
      <c r="F33" s="23" t="s">
        <v>12</v>
      </c>
      <c r="G33" s="23">
        <v>1</v>
      </c>
    </row>
    <row r="34" s="21" customFormat="1" ht="42" customHeight="1" spans="1:7">
      <c r="A34" s="3"/>
      <c r="B34" s="3">
        <v>2105</v>
      </c>
      <c r="C34" s="3"/>
      <c r="D34" s="22" t="s">
        <v>1868</v>
      </c>
      <c r="E34" s="22" t="s">
        <v>1870</v>
      </c>
      <c r="F34" s="23" t="s">
        <v>12</v>
      </c>
      <c r="G34" s="23">
        <v>1</v>
      </c>
    </row>
    <row r="35" s="21" customFormat="1" ht="42" customHeight="1" spans="1:7">
      <c r="A35" s="3"/>
      <c r="B35" s="3">
        <v>2105</v>
      </c>
      <c r="C35" s="3"/>
      <c r="D35" s="22" t="s">
        <v>1868</v>
      </c>
      <c r="E35" s="22" t="s">
        <v>1871</v>
      </c>
      <c r="F35" s="23" t="s">
        <v>12</v>
      </c>
      <c r="G35" s="23">
        <v>1</v>
      </c>
    </row>
    <row r="36" s="21" customFormat="1" ht="21.5" customHeight="1" spans="1:7">
      <c r="A36" s="3"/>
      <c r="B36" s="3"/>
      <c r="C36" s="3"/>
      <c r="D36" s="22"/>
      <c r="E36" s="22"/>
      <c r="F36" s="23"/>
      <c r="G36" s="23"/>
    </row>
    <row r="37" s="21" customFormat="1" ht="21.5" customHeight="1" spans="1:7">
      <c r="A37" s="3">
        <v>1</v>
      </c>
      <c r="B37" s="3">
        <v>2105</v>
      </c>
      <c r="C37" s="3" t="s">
        <v>1833</v>
      </c>
      <c r="D37" s="22" t="s">
        <v>1834</v>
      </c>
      <c r="E37" s="22" t="s">
        <v>1872</v>
      </c>
      <c r="F37" s="23" t="s">
        <v>1462</v>
      </c>
      <c r="G37" s="23">
        <v>3308</v>
      </c>
    </row>
    <row r="38" s="21" customFormat="1" ht="21.5" customHeight="1" spans="1:7">
      <c r="A38" s="3"/>
      <c r="B38" s="3">
        <v>2105</v>
      </c>
      <c r="C38" s="3" t="s">
        <v>1839</v>
      </c>
      <c r="D38" s="22" t="s">
        <v>1839</v>
      </c>
      <c r="E38" s="22" t="s">
        <v>1873</v>
      </c>
      <c r="F38" s="23" t="s">
        <v>26</v>
      </c>
      <c r="G38" s="23">
        <v>46</v>
      </c>
    </row>
    <row r="39" s="21" customFormat="1" ht="21.5" customHeight="1" spans="1:7">
      <c r="A39" s="3">
        <v>2</v>
      </c>
      <c r="B39" s="3">
        <v>2105</v>
      </c>
      <c r="C39" s="3" t="s">
        <v>1843</v>
      </c>
      <c r="D39" s="22" t="s">
        <v>1844</v>
      </c>
      <c r="E39" s="22" t="s">
        <v>1874</v>
      </c>
      <c r="F39" s="23" t="s">
        <v>1462</v>
      </c>
      <c r="G39" s="23">
        <v>500</v>
      </c>
    </row>
    <row r="40" s="21" customFormat="1" ht="21.5" customHeight="1" spans="1:7">
      <c r="A40" s="3"/>
      <c r="B40" s="3">
        <v>2105</v>
      </c>
      <c r="C40" s="3" t="s">
        <v>1843</v>
      </c>
      <c r="D40" s="22"/>
      <c r="E40" s="22" t="s">
        <v>1845</v>
      </c>
      <c r="F40" s="23" t="s">
        <v>1462</v>
      </c>
      <c r="G40" s="23">
        <v>60</v>
      </c>
    </row>
    <row r="41" s="21" customFormat="1" ht="21.5" customHeight="1" spans="1:7">
      <c r="A41" s="3"/>
      <c r="B41" s="3">
        <v>2105</v>
      </c>
      <c r="C41" s="3" t="s">
        <v>1843</v>
      </c>
      <c r="D41" s="22"/>
      <c r="E41" s="22" t="s">
        <v>1846</v>
      </c>
      <c r="F41" s="23" t="s">
        <v>1462</v>
      </c>
      <c r="G41" s="23">
        <v>100</v>
      </c>
    </row>
    <row r="42" s="21" customFormat="1" ht="21.5" customHeight="1" spans="1:7">
      <c r="A42" s="3">
        <v>3</v>
      </c>
      <c r="B42" s="3">
        <v>2105</v>
      </c>
      <c r="C42" s="3" t="s">
        <v>1847</v>
      </c>
      <c r="D42" s="22" t="s">
        <v>1847</v>
      </c>
      <c r="E42" s="22" t="s">
        <v>1875</v>
      </c>
      <c r="F42" s="23" t="s">
        <v>1462</v>
      </c>
      <c r="G42" s="23">
        <v>977</v>
      </c>
    </row>
    <row r="43" s="21" customFormat="1" ht="21.5" customHeight="1" spans="1:7">
      <c r="A43" s="3"/>
      <c r="B43" s="3">
        <v>2105</v>
      </c>
      <c r="C43" s="3" t="s">
        <v>1847</v>
      </c>
      <c r="D43" s="22"/>
      <c r="E43" s="22" t="s">
        <v>1876</v>
      </c>
      <c r="F43" s="23" t="s">
        <v>1462</v>
      </c>
      <c r="G43" s="23">
        <v>1774</v>
      </c>
    </row>
    <row r="44" s="21" customFormat="1" ht="21.5" customHeight="1" spans="1:7">
      <c r="A44" s="3"/>
      <c r="B44" s="3">
        <v>2105</v>
      </c>
      <c r="C44" s="3" t="s">
        <v>1847</v>
      </c>
      <c r="D44" s="22"/>
      <c r="E44" s="22" t="s">
        <v>1877</v>
      </c>
      <c r="F44" s="23" t="s">
        <v>1462</v>
      </c>
      <c r="G44" s="23">
        <v>3101</v>
      </c>
    </row>
    <row r="45" s="21" customFormat="1" ht="21.5" customHeight="1" spans="1:7">
      <c r="A45" s="3"/>
      <c r="B45" s="3">
        <v>2105</v>
      </c>
      <c r="C45" s="3" t="s">
        <v>1847</v>
      </c>
      <c r="D45" s="22"/>
      <c r="E45" s="22" t="s">
        <v>1878</v>
      </c>
      <c r="F45" s="23" t="s">
        <v>1462</v>
      </c>
      <c r="G45" s="23">
        <v>3272</v>
      </c>
    </row>
    <row r="46" s="21" customFormat="1" ht="21.5" customHeight="1" spans="1:7">
      <c r="A46" s="3"/>
      <c r="B46" s="3"/>
      <c r="C46" s="3"/>
      <c r="D46" s="22"/>
      <c r="E46" s="22"/>
      <c r="F46" s="23"/>
      <c r="G46" s="23"/>
    </row>
    <row r="47" s="21" customFormat="1" ht="21" customHeight="1" spans="1:7">
      <c r="A47" s="12"/>
      <c r="B47" s="12"/>
      <c r="C47" s="12"/>
      <c r="D47" s="14" t="s">
        <v>34</v>
      </c>
      <c r="E47" s="13"/>
      <c r="F47" s="14"/>
      <c r="G47" s="14"/>
    </row>
    <row r="48" s="21" customFormat="1" ht="21.5" customHeight="1" spans="1:7">
      <c r="A48" s="6"/>
      <c r="B48" s="6"/>
      <c r="C48" s="6"/>
      <c r="D48" s="7" t="s">
        <v>1879</v>
      </c>
      <c r="E48" s="7"/>
      <c r="F48" s="8"/>
      <c r="G48" s="9"/>
    </row>
    <row r="49" s="21" customFormat="1" ht="36" customHeight="1" spans="1:7">
      <c r="A49" s="82" t="s">
        <v>7</v>
      </c>
      <c r="B49" s="3"/>
      <c r="C49" s="3"/>
      <c r="D49" s="22" t="s">
        <v>1423</v>
      </c>
      <c r="E49" s="22"/>
      <c r="F49" s="23"/>
      <c r="G49" s="23"/>
    </row>
    <row r="50" s="21" customFormat="1" ht="45" customHeight="1" spans="1:7">
      <c r="A50" s="3">
        <v>1</v>
      </c>
      <c r="B50" s="3">
        <v>2108</v>
      </c>
      <c r="C50" s="3"/>
      <c r="D50" s="22" t="s">
        <v>1880</v>
      </c>
      <c r="E50" s="22" t="s">
        <v>1881</v>
      </c>
      <c r="F50" s="23" t="s">
        <v>23</v>
      </c>
      <c r="G50" s="23">
        <v>1</v>
      </c>
    </row>
    <row r="51" s="21" customFormat="1" ht="55.5" customHeight="1" spans="1:7">
      <c r="A51" s="3"/>
      <c r="B51" s="3">
        <v>2108</v>
      </c>
      <c r="C51" s="3"/>
      <c r="D51" s="22" t="s">
        <v>1882</v>
      </c>
      <c r="E51" s="22" t="s">
        <v>1883</v>
      </c>
      <c r="F51" s="23" t="s">
        <v>23</v>
      </c>
      <c r="G51" s="23">
        <v>1</v>
      </c>
    </row>
    <row r="52" s="21" customFormat="1" ht="21.5" customHeight="1" spans="1:7">
      <c r="A52" s="3">
        <v>2</v>
      </c>
      <c r="B52" s="3">
        <v>2108</v>
      </c>
      <c r="C52" s="3"/>
      <c r="D52" s="22" t="s">
        <v>1884</v>
      </c>
      <c r="E52" s="22" t="s">
        <v>1885</v>
      </c>
      <c r="F52" s="23"/>
      <c r="G52" s="23"/>
    </row>
    <row r="53" s="21" customFormat="1" ht="21.5" customHeight="1" spans="1:7">
      <c r="A53" s="3"/>
      <c r="B53" s="3">
        <v>2108</v>
      </c>
      <c r="C53" s="3"/>
      <c r="D53" s="22"/>
      <c r="E53" s="22" t="s">
        <v>1886</v>
      </c>
      <c r="F53" s="23" t="s">
        <v>12</v>
      </c>
      <c r="G53" s="23">
        <v>1</v>
      </c>
    </row>
    <row r="54" s="21" customFormat="1" ht="21.5" customHeight="1" spans="1:7">
      <c r="A54" s="3"/>
      <c r="B54" s="3">
        <v>2108</v>
      </c>
      <c r="C54" s="3"/>
      <c r="D54" s="22"/>
      <c r="E54" s="22" t="s">
        <v>1887</v>
      </c>
      <c r="F54" s="23" t="s">
        <v>12</v>
      </c>
      <c r="G54" s="23">
        <v>1</v>
      </c>
    </row>
    <row r="55" s="21" customFormat="1" ht="21.5" customHeight="1" spans="1:7">
      <c r="A55" s="3"/>
      <c r="B55" s="3">
        <v>2108</v>
      </c>
      <c r="C55" s="3"/>
      <c r="D55" s="22"/>
      <c r="E55" s="22" t="s">
        <v>1888</v>
      </c>
      <c r="F55" s="23" t="s">
        <v>12</v>
      </c>
      <c r="G55" s="23">
        <v>1</v>
      </c>
    </row>
    <row r="56" s="21" customFormat="1" ht="21.5" customHeight="1" spans="1:7">
      <c r="A56" s="3"/>
      <c r="B56" s="3">
        <v>2108</v>
      </c>
      <c r="C56" s="3"/>
      <c r="D56" s="22"/>
      <c r="E56" s="22" t="s">
        <v>1889</v>
      </c>
      <c r="F56" s="23" t="s">
        <v>12</v>
      </c>
      <c r="G56" s="23">
        <v>3</v>
      </c>
    </row>
    <row r="57" s="21" customFormat="1" ht="21.5" customHeight="1" spans="1:7">
      <c r="A57" s="3"/>
      <c r="B57" s="3">
        <v>2108</v>
      </c>
      <c r="C57" s="3"/>
      <c r="D57" s="22"/>
      <c r="E57" s="22" t="s">
        <v>1890</v>
      </c>
      <c r="F57" s="23" t="s">
        <v>12</v>
      </c>
      <c r="G57" s="23">
        <v>1</v>
      </c>
    </row>
    <row r="58" s="21" customFormat="1" ht="21.5" customHeight="1" spans="1:7">
      <c r="A58" s="3">
        <v>3</v>
      </c>
      <c r="B58" s="3">
        <v>2108</v>
      </c>
      <c r="C58" s="3"/>
      <c r="D58" s="22" t="s">
        <v>1891</v>
      </c>
      <c r="E58" s="22" t="s">
        <v>1892</v>
      </c>
      <c r="F58" s="23" t="s">
        <v>23</v>
      </c>
      <c r="G58" s="23">
        <v>1</v>
      </c>
    </row>
    <row r="59" s="21" customFormat="1" ht="21.5" customHeight="1" spans="1:7">
      <c r="A59" s="3">
        <v>4</v>
      </c>
      <c r="B59" s="3">
        <v>2108</v>
      </c>
      <c r="C59" s="3"/>
      <c r="D59" s="22" t="s">
        <v>1893</v>
      </c>
      <c r="E59" s="22" t="s">
        <v>1894</v>
      </c>
      <c r="F59" s="23" t="s">
        <v>1895</v>
      </c>
      <c r="G59" s="23">
        <v>2</v>
      </c>
    </row>
    <row r="60" s="21" customFormat="1" ht="21.5" customHeight="1" spans="1:7">
      <c r="A60" s="3">
        <v>5</v>
      </c>
      <c r="B60" s="3">
        <v>2108</v>
      </c>
      <c r="C60" s="3"/>
      <c r="D60" s="22" t="s">
        <v>1896</v>
      </c>
      <c r="E60" s="22" t="s">
        <v>1897</v>
      </c>
      <c r="F60" s="23" t="s">
        <v>1895</v>
      </c>
      <c r="G60" s="23">
        <v>1</v>
      </c>
    </row>
    <row r="61" s="21" customFormat="1" ht="21.5" customHeight="1" spans="1:7">
      <c r="A61" s="3">
        <v>7</v>
      </c>
      <c r="B61" s="3">
        <v>2108</v>
      </c>
      <c r="C61" s="3"/>
      <c r="D61" s="22" t="s">
        <v>1898</v>
      </c>
      <c r="E61" s="22" t="s">
        <v>1899</v>
      </c>
      <c r="F61" s="23" t="s">
        <v>12</v>
      </c>
      <c r="G61" s="23">
        <v>3</v>
      </c>
    </row>
    <row r="62" s="21" customFormat="1" ht="21.5" customHeight="1" spans="1:7">
      <c r="A62" s="3">
        <v>8</v>
      </c>
      <c r="B62" s="3">
        <v>2108</v>
      </c>
      <c r="C62" s="3"/>
      <c r="D62" s="22" t="s">
        <v>1900</v>
      </c>
      <c r="E62" s="22" t="s">
        <v>1901</v>
      </c>
      <c r="F62" s="23" t="s">
        <v>12</v>
      </c>
      <c r="G62" s="23">
        <v>1</v>
      </c>
    </row>
    <row r="63" s="21" customFormat="1" ht="21.5" customHeight="1" spans="1:7">
      <c r="A63" s="3">
        <v>9</v>
      </c>
      <c r="B63" s="3">
        <v>2108</v>
      </c>
      <c r="C63" s="3"/>
      <c r="D63" s="22" t="s">
        <v>1902</v>
      </c>
      <c r="E63" s="22" t="s">
        <v>1901</v>
      </c>
      <c r="F63" s="23" t="s">
        <v>12</v>
      </c>
      <c r="G63" s="23">
        <v>1</v>
      </c>
    </row>
    <row r="64" s="21" customFormat="1" ht="21.5" customHeight="1" spans="1:7">
      <c r="A64" s="3">
        <v>10</v>
      </c>
      <c r="B64" s="3">
        <v>2108</v>
      </c>
      <c r="C64" s="3"/>
      <c r="D64" s="22" t="s">
        <v>1903</v>
      </c>
      <c r="E64" s="22" t="s">
        <v>1904</v>
      </c>
      <c r="F64" s="23" t="s">
        <v>12</v>
      </c>
      <c r="G64" s="23">
        <v>1</v>
      </c>
    </row>
    <row r="65" s="21" customFormat="1" ht="21.5" customHeight="1" spans="1:7">
      <c r="A65" s="3">
        <v>11</v>
      </c>
      <c r="B65" s="3">
        <v>2108</v>
      </c>
      <c r="C65" s="3"/>
      <c r="D65" s="22" t="s">
        <v>1905</v>
      </c>
      <c r="E65" s="22"/>
      <c r="F65" s="23" t="s">
        <v>12</v>
      </c>
      <c r="G65" s="23">
        <v>1</v>
      </c>
    </row>
    <row r="66" s="21" customFormat="1" ht="21.5" customHeight="1" spans="1:7">
      <c r="A66" s="3"/>
      <c r="B66" s="3">
        <v>2108</v>
      </c>
      <c r="C66" s="3"/>
      <c r="D66" s="22" t="s">
        <v>1906</v>
      </c>
      <c r="E66" s="22" t="s">
        <v>1907</v>
      </c>
      <c r="F66" s="23" t="s">
        <v>12</v>
      </c>
      <c r="G66" s="23">
        <v>0</v>
      </c>
    </row>
    <row r="67" s="21" customFormat="1" ht="21.5" customHeight="1" spans="1:7">
      <c r="A67" s="3" t="s">
        <v>35</v>
      </c>
      <c r="B67" s="3"/>
      <c r="C67" s="3"/>
      <c r="D67" s="22" t="s">
        <v>823</v>
      </c>
      <c r="E67" s="22"/>
      <c r="F67" s="23"/>
      <c r="G67" s="23"/>
    </row>
    <row r="68" s="21" customFormat="1" ht="21.5" customHeight="1" spans="1:7">
      <c r="A68" s="3">
        <v>1</v>
      </c>
      <c r="B68" s="3">
        <v>2108</v>
      </c>
      <c r="C68" s="3" t="s">
        <v>1833</v>
      </c>
      <c r="D68" s="22" t="s">
        <v>1908</v>
      </c>
      <c r="E68" s="22" t="s">
        <v>1909</v>
      </c>
      <c r="F68" s="23" t="s">
        <v>1462</v>
      </c>
      <c r="G68" s="23">
        <v>1104</v>
      </c>
    </row>
    <row r="69" s="21" customFormat="1" ht="21.5" customHeight="1" spans="1:7">
      <c r="A69" s="3"/>
      <c r="B69" s="3">
        <v>2108</v>
      </c>
      <c r="C69" s="3" t="s">
        <v>1833</v>
      </c>
      <c r="D69" s="22"/>
      <c r="E69" s="22" t="s">
        <v>1910</v>
      </c>
      <c r="F69" s="23" t="s">
        <v>1462</v>
      </c>
      <c r="G69" s="23">
        <v>237.6</v>
      </c>
    </row>
    <row r="70" s="21" customFormat="1" ht="21.5" customHeight="1" spans="1:7">
      <c r="A70" s="3"/>
      <c r="B70" s="3">
        <v>2108</v>
      </c>
      <c r="C70" s="3" t="s">
        <v>1833</v>
      </c>
      <c r="D70" s="22"/>
      <c r="E70" s="22" t="s">
        <v>1911</v>
      </c>
      <c r="F70" s="23" t="s">
        <v>1462</v>
      </c>
      <c r="G70" s="23">
        <v>540</v>
      </c>
    </row>
    <row r="71" s="21" customFormat="1" ht="21.5" customHeight="1" spans="1:7">
      <c r="A71" s="3"/>
      <c r="B71" s="3">
        <v>2108</v>
      </c>
      <c r="C71" s="3" t="s">
        <v>1839</v>
      </c>
      <c r="D71" s="22" t="s">
        <v>1912</v>
      </c>
      <c r="E71" s="22" t="s">
        <v>1913</v>
      </c>
      <c r="F71" s="23" t="s">
        <v>26</v>
      </c>
      <c r="G71" s="23">
        <v>4</v>
      </c>
    </row>
    <row r="72" s="21" customFormat="1" ht="21.5" customHeight="1" spans="1:7">
      <c r="A72" s="3"/>
      <c r="B72" s="3">
        <v>2108</v>
      </c>
      <c r="C72" s="3" t="s">
        <v>1839</v>
      </c>
      <c r="D72" s="22"/>
      <c r="E72" s="22" t="s">
        <v>1914</v>
      </c>
      <c r="F72" s="23" t="s">
        <v>26</v>
      </c>
      <c r="G72" s="23">
        <v>6</v>
      </c>
    </row>
    <row r="73" s="21" customFormat="1" ht="21.5" customHeight="1" spans="1:7">
      <c r="A73" s="3"/>
      <c r="B73" s="3">
        <v>2108</v>
      </c>
      <c r="C73" s="3" t="s">
        <v>1839</v>
      </c>
      <c r="D73" s="22"/>
      <c r="E73" s="22" t="s">
        <v>1915</v>
      </c>
      <c r="F73" s="23" t="s">
        <v>26</v>
      </c>
      <c r="G73" s="23">
        <v>6</v>
      </c>
    </row>
    <row r="74" s="21" customFormat="1" ht="21.5" customHeight="1" spans="1:7">
      <c r="A74" s="3"/>
      <c r="B74" s="3">
        <v>2108</v>
      </c>
      <c r="C74" s="3" t="s">
        <v>1839</v>
      </c>
      <c r="D74" s="22"/>
      <c r="E74" s="22" t="s">
        <v>1916</v>
      </c>
      <c r="F74" s="23" t="s">
        <v>26</v>
      </c>
      <c r="G74" s="23">
        <v>9</v>
      </c>
    </row>
    <row r="75" s="21" customFormat="1" ht="21.5" customHeight="1" spans="1:7">
      <c r="A75" s="3"/>
      <c r="B75" s="3">
        <v>2108</v>
      </c>
      <c r="C75" s="3" t="s">
        <v>1839</v>
      </c>
      <c r="D75" s="22"/>
      <c r="E75" s="22" t="s">
        <v>1917</v>
      </c>
      <c r="F75" s="23" t="s">
        <v>26</v>
      </c>
      <c r="G75" s="23">
        <v>9</v>
      </c>
    </row>
    <row r="76" s="21" customFormat="1" ht="21.5" customHeight="1" spans="1:7">
      <c r="A76" s="3"/>
      <c r="B76" s="3">
        <v>2108</v>
      </c>
      <c r="C76" s="3" t="s">
        <v>1843</v>
      </c>
      <c r="D76" s="22"/>
      <c r="E76" s="22" t="s">
        <v>1918</v>
      </c>
      <c r="F76" s="23" t="s">
        <v>1462</v>
      </c>
      <c r="G76" s="23">
        <v>74</v>
      </c>
    </row>
    <row r="77" s="21" customFormat="1" ht="21.5" customHeight="1" spans="1:7">
      <c r="A77" s="3"/>
      <c r="B77" s="3">
        <v>2108</v>
      </c>
      <c r="C77" s="3" t="s">
        <v>1843</v>
      </c>
      <c r="D77" s="22"/>
      <c r="E77" s="22" t="s">
        <v>1919</v>
      </c>
      <c r="F77" s="23" t="s">
        <v>1462</v>
      </c>
      <c r="G77" s="23">
        <v>244</v>
      </c>
    </row>
    <row r="78" s="21" customFormat="1" ht="21.5" customHeight="1" spans="1:7">
      <c r="A78" s="3"/>
      <c r="B78" s="3">
        <v>2108</v>
      </c>
      <c r="C78" s="3" t="s">
        <v>1843</v>
      </c>
      <c r="D78" s="22"/>
      <c r="E78" s="22" t="s">
        <v>1920</v>
      </c>
      <c r="F78" s="23" t="s">
        <v>1462</v>
      </c>
      <c r="G78" s="23">
        <v>49</v>
      </c>
    </row>
    <row r="79" s="21" customFormat="1" ht="21.5" customHeight="1" spans="1:7">
      <c r="A79" s="3"/>
      <c r="B79" s="3">
        <v>2108</v>
      </c>
      <c r="C79" s="3" t="s">
        <v>1843</v>
      </c>
      <c r="D79" s="22"/>
      <c r="E79" s="22" t="s">
        <v>1921</v>
      </c>
      <c r="F79" s="23" t="s">
        <v>1462</v>
      </c>
      <c r="G79" s="23">
        <v>36</v>
      </c>
    </row>
    <row r="80" s="21" customFormat="1" ht="21.5" customHeight="1" spans="1:7">
      <c r="A80" s="3"/>
      <c r="B80" s="3">
        <v>2108</v>
      </c>
      <c r="C80" s="3" t="s">
        <v>1843</v>
      </c>
      <c r="D80" s="22"/>
      <c r="E80" s="22" t="s">
        <v>1922</v>
      </c>
      <c r="F80" s="23" t="s">
        <v>1462</v>
      </c>
      <c r="G80" s="23">
        <v>20</v>
      </c>
    </row>
    <row r="81" s="21" customFormat="1" ht="21.5" customHeight="1" spans="1:7">
      <c r="A81" s="3"/>
      <c r="B81" s="3">
        <v>2108</v>
      </c>
      <c r="C81" s="3" t="s">
        <v>1843</v>
      </c>
      <c r="D81" s="22"/>
      <c r="E81" s="22" t="s">
        <v>1923</v>
      </c>
      <c r="F81" s="23" t="s">
        <v>1462</v>
      </c>
      <c r="G81" s="23">
        <v>76</v>
      </c>
    </row>
    <row r="82" s="21" customFormat="1" ht="21.5" customHeight="1" spans="1:7">
      <c r="A82" s="3"/>
      <c r="B82" s="3">
        <v>2108</v>
      </c>
      <c r="C82" s="3" t="s">
        <v>1843</v>
      </c>
      <c r="D82" s="22"/>
      <c r="E82" s="22" t="s">
        <v>1924</v>
      </c>
      <c r="F82" s="23" t="s">
        <v>1462</v>
      </c>
      <c r="G82" s="23">
        <v>62</v>
      </c>
    </row>
    <row r="83" s="21" customFormat="1" ht="21.5" customHeight="1" spans="1:7">
      <c r="A83" s="3"/>
      <c r="B83" s="3">
        <v>2108</v>
      </c>
      <c r="C83" s="3" t="s">
        <v>1843</v>
      </c>
      <c r="D83" s="22"/>
      <c r="E83" s="22" t="s">
        <v>1925</v>
      </c>
      <c r="F83" s="23" t="s">
        <v>1462</v>
      </c>
      <c r="G83" s="23">
        <v>15</v>
      </c>
    </row>
    <row r="84" s="21" customFormat="1" ht="21.5" customHeight="1" spans="1:7">
      <c r="A84" s="3"/>
      <c r="B84" s="3">
        <v>2108</v>
      </c>
      <c r="C84" s="3" t="s">
        <v>1843</v>
      </c>
      <c r="D84" s="22"/>
      <c r="E84" s="22" t="s">
        <v>1926</v>
      </c>
      <c r="F84" s="23" t="s">
        <v>1462</v>
      </c>
      <c r="G84" s="23">
        <v>155</v>
      </c>
    </row>
    <row r="85" s="21" customFormat="1" ht="21.5" customHeight="1" spans="1:7">
      <c r="A85" s="3"/>
      <c r="B85" s="3">
        <v>2108</v>
      </c>
      <c r="C85" s="3" t="s">
        <v>1843</v>
      </c>
      <c r="D85" s="22"/>
      <c r="E85" s="22" t="s">
        <v>1927</v>
      </c>
      <c r="F85" s="23" t="s">
        <v>1462</v>
      </c>
      <c r="G85" s="23">
        <v>93</v>
      </c>
    </row>
    <row r="86" s="21" customFormat="1" ht="21.5" customHeight="1" spans="1:7">
      <c r="A86" s="3"/>
      <c r="B86" s="3">
        <v>2108</v>
      </c>
      <c r="C86" s="3" t="s">
        <v>1843</v>
      </c>
      <c r="D86" s="22"/>
      <c r="E86" s="22" t="s">
        <v>1928</v>
      </c>
      <c r="F86" s="23" t="s">
        <v>1462</v>
      </c>
      <c r="G86" s="23">
        <v>300</v>
      </c>
    </row>
    <row r="87" s="21" customFormat="1" ht="21.5" customHeight="1" spans="1:7">
      <c r="A87" s="3">
        <v>3</v>
      </c>
      <c r="B87" s="3">
        <v>2108</v>
      </c>
      <c r="C87" s="3" t="s">
        <v>1847</v>
      </c>
      <c r="D87" s="22" t="s">
        <v>1847</v>
      </c>
      <c r="E87" s="22" t="s">
        <v>1929</v>
      </c>
      <c r="F87" s="23" t="s">
        <v>1462</v>
      </c>
      <c r="G87" s="23">
        <v>52</v>
      </c>
    </row>
    <row r="88" s="21" customFormat="1" ht="21.5" customHeight="1" spans="1:7">
      <c r="A88" s="3"/>
      <c r="B88" s="3">
        <v>2108</v>
      </c>
      <c r="C88" s="3" t="s">
        <v>1847</v>
      </c>
      <c r="D88" s="22"/>
      <c r="E88" s="22" t="s">
        <v>1930</v>
      </c>
      <c r="F88" s="23" t="s">
        <v>1462</v>
      </c>
      <c r="G88" s="23">
        <v>91</v>
      </c>
    </row>
    <row r="89" s="21" customFormat="1" ht="21.5" customHeight="1" spans="1:7">
      <c r="A89" s="3"/>
      <c r="B89" s="3">
        <v>2108</v>
      </c>
      <c r="C89" s="3" t="s">
        <v>1847</v>
      </c>
      <c r="D89" s="22"/>
      <c r="E89" s="22" t="s">
        <v>1931</v>
      </c>
      <c r="F89" s="23" t="s">
        <v>1462</v>
      </c>
      <c r="G89" s="23">
        <v>286</v>
      </c>
    </row>
    <row r="90" s="21" customFormat="1" ht="21.5" customHeight="1" spans="1:7">
      <c r="A90" s="3"/>
      <c r="B90" s="3">
        <v>2108</v>
      </c>
      <c r="C90" s="3" t="s">
        <v>1847</v>
      </c>
      <c r="D90" s="22"/>
      <c r="E90" s="22" t="s">
        <v>1932</v>
      </c>
      <c r="F90" s="23" t="s">
        <v>1462</v>
      </c>
      <c r="G90" s="23">
        <v>94.9</v>
      </c>
    </row>
    <row r="91" s="21" customFormat="1" ht="21.5" customHeight="1" spans="1:7">
      <c r="A91" s="3"/>
      <c r="B91" s="3">
        <v>2108</v>
      </c>
      <c r="C91" s="3" t="s">
        <v>1847</v>
      </c>
      <c r="D91" s="22"/>
      <c r="E91" s="22" t="s">
        <v>1933</v>
      </c>
      <c r="F91" s="23" t="s">
        <v>1462</v>
      </c>
      <c r="G91" s="23">
        <v>443.3</v>
      </c>
    </row>
    <row r="92" s="21" customFormat="1" ht="21.5" customHeight="1" spans="1:7">
      <c r="A92" s="3"/>
      <c r="B92" s="3">
        <v>2108</v>
      </c>
      <c r="C92" s="3" t="s">
        <v>1847</v>
      </c>
      <c r="D92" s="22"/>
      <c r="E92" s="22" t="s">
        <v>1934</v>
      </c>
      <c r="F92" s="23" t="s">
        <v>1462</v>
      </c>
      <c r="G92" s="23">
        <v>354.9</v>
      </c>
    </row>
    <row r="93" s="21" customFormat="1" ht="21.5" customHeight="1" spans="1:7">
      <c r="A93" s="3">
        <v>4</v>
      </c>
      <c r="B93" s="3">
        <v>2108</v>
      </c>
      <c r="C93" s="3"/>
      <c r="D93" s="22" t="s">
        <v>1935</v>
      </c>
      <c r="E93" s="22" t="s">
        <v>1936</v>
      </c>
      <c r="F93" s="23" t="s">
        <v>1316</v>
      </c>
      <c r="G93" s="23">
        <v>924</v>
      </c>
    </row>
    <row r="94" s="21" customFormat="1" ht="21.5" customHeight="1" spans="1:7">
      <c r="A94" s="3"/>
      <c r="B94" s="3">
        <v>2108</v>
      </c>
      <c r="C94" s="3"/>
      <c r="D94" s="22"/>
      <c r="E94" s="22" t="s">
        <v>1937</v>
      </c>
      <c r="F94" s="23" t="s">
        <v>23</v>
      </c>
      <c r="G94" s="23">
        <v>1</v>
      </c>
    </row>
    <row r="95" s="21" customFormat="1" ht="21.5" customHeight="1" spans="1:7">
      <c r="A95" s="3"/>
      <c r="B95" s="3">
        <v>2108</v>
      </c>
      <c r="C95" s="3"/>
      <c r="D95" s="22"/>
      <c r="E95" s="22" t="s">
        <v>1938</v>
      </c>
      <c r="F95" s="23" t="s">
        <v>23</v>
      </c>
      <c r="G95" s="23">
        <v>1</v>
      </c>
    </row>
    <row r="96" s="21" customFormat="1" ht="21.5" customHeight="1" spans="1:7">
      <c r="A96" s="3">
        <v>5</v>
      </c>
      <c r="B96" s="3">
        <v>2108</v>
      </c>
      <c r="C96" s="3"/>
      <c r="D96" s="22" t="s">
        <v>1939</v>
      </c>
      <c r="E96" s="22" t="s">
        <v>1940</v>
      </c>
      <c r="F96" s="23"/>
      <c r="G96" s="23"/>
    </row>
    <row r="97" s="21" customFormat="1" ht="21.5" customHeight="1" spans="1:7">
      <c r="A97" s="3"/>
      <c r="B97" s="3">
        <v>2108</v>
      </c>
      <c r="C97" s="3" t="s">
        <v>865</v>
      </c>
      <c r="D97" s="22"/>
      <c r="E97" s="22" t="s">
        <v>1941</v>
      </c>
      <c r="F97" s="23" t="s">
        <v>1462</v>
      </c>
      <c r="G97" s="23">
        <v>150</v>
      </c>
    </row>
    <row r="98" s="21" customFormat="1" ht="21.5" customHeight="1" spans="1:7">
      <c r="A98" s="3"/>
      <c r="B98" s="3">
        <v>2108</v>
      </c>
      <c r="C98" s="3" t="s">
        <v>865</v>
      </c>
      <c r="D98" s="22"/>
      <c r="E98" s="22" t="s">
        <v>1942</v>
      </c>
      <c r="F98" s="23" t="s">
        <v>1943</v>
      </c>
      <c r="G98" s="23">
        <v>20</v>
      </c>
    </row>
    <row r="99" s="21" customFormat="1" ht="21.5" customHeight="1" spans="1:7">
      <c r="A99" s="3">
        <v>6</v>
      </c>
      <c r="B99" s="3">
        <v>2108</v>
      </c>
      <c r="C99" s="3"/>
      <c r="D99" s="22" t="s">
        <v>1944</v>
      </c>
      <c r="E99" s="22"/>
      <c r="F99" s="23"/>
      <c r="G99" s="23"/>
    </row>
    <row r="100" s="21" customFormat="1" ht="21.5" customHeight="1" spans="1:7">
      <c r="A100" s="3"/>
      <c r="B100" s="3">
        <v>2108</v>
      </c>
      <c r="C100" s="3" t="s">
        <v>865</v>
      </c>
      <c r="D100" s="22"/>
      <c r="E100" s="22" t="s">
        <v>1945</v>
      </c>
      <c r="F100" s="23" t="s">
        <v>1462</v>
      </c>
      <c r="G100" s="23">
        <v>0</v>
      </c>
    </row>
    <row r="101" s="21" customFormat="1" ht="21.5" customHeight="1" spans="1:7">
      <c r="A101" s="3"/>
      <c r="B101" s="3">
        <v>2108</v>
      </c>
      <c r="C101" s="3" t="s">
        <v>865</v>
      </c>
      <c r="D101" s="22"/>
      <c r="E101" s="22" t="s">
        <v>1946</v>
      </c>
      <c r="F101" s="23" t="s">
        <v>1462</v>
      </c>
      <c r="G101" s="23">
        <v>500</v>
      </c>
    </row>
    <row r="102" s="21" customFormat="1" ht="21.5" customHeight="1" spans="1:7">
      <c r="A102" s="3"/>
      <c r="B102" s="3">
        <v>2108</v>
      </c>
      <c r="C102" s="3" t="s">
        <v>865</v>
      </c>
      <c r="D102" s="22"/>
      <c r="E102" s="22" t="s">
        <v>1947</v>
      </c>
      <c r="F102" s="23" t="s">
        <v>1462</v>
      </c>
      <c r="G102" s="23">
        <v>150</v>
      </c>
    </row>
    <row r="103" s="21" customFormat="1" ht="21.5" customHeight="1" spans="1:7">
      <c r="A103" s="3"/>
      <c r="B103" s="3">
        <v>2108</v>
      </c>
      <c r="C103" s="3" t="s">
        <v>1948</v>
      </c>
      <c r="D103" s="22"/>
      <c r="E103" s="22" t="s">
        <v>1949</v>
      </c>
      <c r="F103" s="23" t="s">
        <v>1462</v>
      </c>
      <c r="G103" s="23">
        <v>100</v>
      </c>
    </row>
    <row r="104" s="21" customFormat="1" ht="21.5" customHeight="1" spans="1:7">
      <c r="A104" s="3">
        <v>7</v>
      </c>
      <c r="B104" s="3">
        <v>2108</v>
      </c>
      <c r="C104" s="3" t="s">
        <v>1948</v>
      </c>
      <c r="D104" s="22" t="s">
        <v>1950</v>
      </c>
      <c r="E104" s="22" t="s">
        <v>1951</v>
      </c>
      <c r="F104" s="23" t="s">
        <v>1462</v>
      </c>
      <c r="G104" s="23">
        <v>30</v>
      </c>
    </row>
    <row r="105" s="21" customFormat="1" ht="21.5" customHeight="1" spans="1:7">
      <c r="A105" s="3"/>
      <c r="B105" s="3">
        <v>2108</v>
      </c>
      <c r="C105" s="3" t="s">
        <v>1948</v>
      </c>
      <c r="D105" s="22"/>
      <c r="E105" s="22" t="s">
        <v>1952</v>
      </c>
      <c r="F105" s="23" t="s">
        <v>1462</v>
      </c>
      <c r="G105" s="23">
        <v>40</v>
      </c>
    </row>
    <row r="106" s="21" customFormat="1" ht="21.5" customHeight="1" spans="1:7">
      <c r="A106" s="3"/>
      <c r="B106" s="3">
        <v>2108</v>
      </c>
      <c r="C106" s="3" t="s">
        <v>1948</v>
      </c>
      <c r="D106" s="22"/>
      <c r="E106" s="22" t="s">
        <v>1953</v>
      </c>
      <c r="F106" s="23" t="s">
        <v>1462</v>
      </c>
      <c r="G106" s="23">
        <v>40</v>
      </c>
    </row>
    <row r="107" s="21" customFormat="1" ht="21.5" customHeight="1" spans="1:7">
      <c r="A107" s="3"/>
      <c r="B107" s="3"/>
      <c r="C107" s="3"/>
      <c r="D107" s="22" t="s">
        <v>1954</v>
      </c>
      <c r="E107" s="22" t="s">
        <v>1955</v>
      </c>
      <c r="F107" s="23" t="s">
        <v>1210</v>
      </c>
      <c r="G107" s="23">
        <v>1.5</v>
      </c>
    </row>
    <row r="108" s="21" customFormat="1" ht="21.5" customHeight="1" spans="1:7">
      <c r="A108" s="3"/>
      <c r="B108" s="3"/>
      <c r="C108" s="3"/>
      <c r="D108" s="22" t="s">
        <v>1956</v>
      </c>
      <c r="E108" s="22"/>
      <c r="F108" s="23" t="s">
        <v>23</v>
      </c>
      <c r="G108" s="23">
        <v>1</v>
      </c>
    </row>
    <row r="109" s="21" customFormat="1" ht="21.5" customHeight="1" spans="1:7">
      <c r="A109" s="3"/>
      <c r="B109" s="3"/>
      <c r="C109" s="3"/>
      <c r="D109" s="22"/>
      <c r="E109" s="22"/>
      <c r="F109" s="23"/>
      <c r="G109" s="23"/>
    </row>
    <row r="110" s="21" customFormat="1" ht="21" customHeight="1" spans="1:7">
      <c r="A110" s="12"/>
      <c r="B110" s="12"/>
      <c r="C110" s="12"/>
      <c r="D110" s="14" t="s">
        <v>34</v>
      </c>
      <c r="E110" s="13"/>
      <c r="F110" s="14"/>
      <c r="G110" s="14"/>
    </row>
    <row r="111" s="21" customFormat="1" ht="21.5" customHeight="1" spans="1:7">
      <c r="A111" s="3" t="s">
        <v>54</v>
      </c>
      <c r="B111" s="3"/>
      <c r="C111" s="3"/>
      <c r="D111" s="22" t="s">
        <v>1957</v>
      </c>
      <c r="E111" s="22" t="s">
        <v>1958</v>
      </c>
      <c r="F111" s="23"/>
      <c r="G111" s="23"/>
    </row>
    <row r="112" s="21" customFormat="1" ht="21.5" customHeight="1" spans="1:7">
      <c r="A112" s="3">
        <v>1</v>
      </c>
      <c r="B112" s="3">
        <v>2150</v>
      </c>
      <c r="C112" s="3"/>
      <c r="D112" s="22" t="s">
        <v>1850</v>
      </c>
      <c r="E112" s="22" t="s">
        <v>1959</v>
      </c>
      <c r="F112" s="23" t="s">
        <v>12</v>
      </c>
      <c r="G112" s="23">
        <v>2</v>
      </c>
    </row>
    <row r="113" s="21" customFormat="1" ht="21.5" customHeight="1" spans="1:7">
      <c r="A113" s="3"/>
      <c r="B113" s="3">
        <v>2150</v>
      </c>
      <c r="C113" s="3"/>
      <c r="D113" s="22" t="s">
        <v>1852</v>
      </c>
      <c r="E113" s="22" t="s">
        <v>1960</v>
      </c>
      <c r="F113" s="23" t="s">
        <v>12</v>
      </c>
      <c r="G113" s="23">
        <v>1</v>
      </c>
    </row>
    <row r="114" s="21" customFormat="1" ht="21.5" customHeight="1" spans="1:7">
      <c r="A114" s="3"/>
      <c r="B114" s="3">
        <v>2150</v>
      </c>
      <c r="C114" s="3"/>
      <c r="D114" s="22" t="s">
        <v>1854</v>
      </c>
      <c r="E114" s="22" t="s">
        <v>1961</v>
      </c>
      <c r="F114" s="23" t="s">
        <v>12</v>
      </c>
      <c r="G114" s="23">
        <v>18</v>
      </c>
    </row>
    <row r="115" s="21" customFormat="1" ht="21.5" customHeight="1" spans="1:7">
      <c r="A115" s="3"/>
      <c r="B115" s="3">
        <v>2150</v>
      </c>
      <c r="C115" s="3"/>
      <c r="D115" s="22" t="s">
        <v>1856</v>
      </c>
      <c r="E115" s="22" t="s">
        <v>1962</v>
      </c>
      <c r="F115" s="23" t="s">
        <v>12</v>
      </c>
      <c r="G115" s="23">
        <v>1</v>
      </c>
    </row>
    <row r="116" s="21" customFormat="1" ht="21.5" customHeight="1" spans="1:7">
      <c r="A116" s="3"/>
      <c r="B116" s="3">
        <v>2150</v>
      </c>
      <c r="C116" s="3"/>
      <c r="D116" s="22" t="s">
        <v>1858</v>
      </c>
      <c r="E116" s="22" t="s">
        <v>1963</v>
      </c>
      <c r="F116" s="23" t="s">
        <v>12</v>
      </c>
      <c r="G116" s="23">
        <v>2</v>
      </c>
    </row>
    <row r="117" s="21" customFormat="1" ht="21.5" customHeight="1" spans="1:7">
      <c r="A117" s="3">
        <v>2</v>
      </c>
      <c r="B117" s="3">
        <v>2150</v>
      </c>
      <c r="C117" s="3"/>
      <c r="D117" s="22" t="s">
        <v>1860</v>
      </c>
      <c r="E117" s="22" t="s">
        <v>1964</v>
      </c>
      <c r="F117" s="23" t="s">
        <v>23</v>
      </c>
      <c r="G117" s="23">
        <v>1</v>
      </c>
    </row>
    <row r="118" s="21" customFormat="1" ht="21.5" customHeight="1" spans="1:7">
      <c r="A118" s="3">
        <v>3</v>
      </c>
      <c r="B118" s="3">
        <v>2150</v>
      </c>
      <c r="C118" s="3"/>
      <c r="D118" s="22" t="s">
        <v>1862</v>
      </c>
      <c r="E118" s="22" t="s">
        <v>1863</v>
      </c>
      <c r="F118" s="23" t="s">
        <v>23</v>
      </c>
      <c r="G118" s="23">
        <v>1</v>
      </c>
    </row>
    <row r="119" s="21" customFormat="1" ht="21.5" customHeight="1" spans="1:7">
      <c r="A119" s="3">
        <v>4</v>
      </c>
      <c r="B119" s="3">
        <v>2150</v>
      </c>
      <c r="C119" s="3"/>
      <c r="D119" s="22" t="s">
        <v>1864</v>
      </c>
      <c r="E119" s="22" t="s">
        <v>1865</v>
      </c>
      <c r="F119" s="23" t="s">
        <v>23</v>
      </c>
      <c r="G119" s="23">
        <v>1</v>
      </c>
    </row>
    <row r="120" s="21" customFormat="1" ht="21.5" customHeight="1" spans="1:7">
      <c r="A120" s="3">
        <v>5</v>
      </c>
      <c r="B120" s="3">
        <v>2150</v>
      </c>
      <c r="C120" s="3"/>
      <c r="D120" s="22" t="s">
        <v>1866</v>
      </c>
      <c r="E120" s="22" t="s">
        <v>1965</v>
      </c>
      <c r="F120" s="23" t="s">
        <v>23</v>
      </c>
      <c r="G120" s="23">
        <v>2</v>
      </c>
    </row>
    <row r="121" s="21" customFormat="1" ht="21.5" customHeight="1" spans="1:7">
      <c r="A121" s="3">
        <v>6</v>
      </c>
      <c r="B121" s="3">
        <v>2150</v>
      </c>
      <c r="C121" s="3"/>
      <c r="D121" s="22" t="s">
        <v>1868</v>
      </c>
      <c r="E121" s="22" t="s">
        <v>1966</v>
      </c>
      <c r="F121" s="23" t="s">
        <v>12</v>
      </c>
      <c r="G121" s="23">
        <v>1</v>
      </c>
    </row>
    <row r="122" s="21" customFormat="1" ht="21.5" customHeight="1" spans="1:7">
      <c r="A122" s="3"/>
      <c r="B122" s="3">
        <v>2150</v>
      </c>
      <c r="C122" s="3"/>
      <c r="D122" s="22" t="s">
        <v>1868</v>
      </c>
      <c r="E122" s="22" t="s">
        <v>1967</v>
      </c>
      <c r="F122" s="23" t="s">
        <v>12</v>
      </c>
      <c r="G122" s="23">
        <v>2</v>
      </c>
    </row>
    <row r="123" s="21" customFormat="1" ht="21.5" customHeight="1" spans="1:7">
      <c r="A123" s="3"/>
      <c r="B123" s="3">
        <v>2150</v>
      </c>
      <c r="C123" s="3"/>
      <c r="D123" s="22" t="s">
        <v>1868</v>
      </c>
      <c r="E123" s="22" t="s">
        <v>1968</v>
      </c>
      <c r="F123" s="23" t="s">
        <v>12</v>
      </c>
      <c r="G123" s="23">
        <v>1</v>
      </c>
    </row>
    <row r="124" s="21" customFormat="1" ht="21.5" customHeight="1" spans="1:7">
      <c r="A124" s="3"/>
      <c r="B124" s="3">
        <v>2150</v>
      </c>
      <c r="C124" s="3"/>
      <c r="D124" s="22"/>
      <c r="E124" s="22"/>
      <c r="F124" s="23"/>
      <c r="G124" s="23"/>
    </row>
    <row r="125" s="21" customFormat="1" ht="21.5" customHeight="1" spans="1:7">
      <c r="A125" s="3">
        <v>1</v>
      </c>
      <c r="B125" s="3">
        <v>2150</v>
      </c>
      <c r="C125" s="3" t="s">
        <v>1833</v>
      </c>
      <c r="D125" s="22" t="s">
        <v>1834</v>
      </c>
      <c r="E125" s="22" t="s">
        <v>1872</v>
      </c>
      <c r="F125" s="23" t="s">
        <v>1462</v>
      </c>
      <c r="G125" s="23">
        <v>1412</v>
      </c>
    </row>
    <row r="126" s="21" customFormat="1" ht="21.5" customHeight="1" spans="1:7">
      <c r="A126" s="3"/>
      <c r="B126" s="3">
        <v>2150</v>
      </c>
      <c r="C126" s="3" t="s">
        <v>1839</v>
      </c>
      <c r="D126" s="22" t="s">
        <v>1839</v>
      </c>
      <c r="E126" s="22" t="s">
        <v>1873</v>
      </c>
      <c r="F126" s="23" t="s">
        <v>26</v>
      </c>
      <c r="G126" s="23">
        <v>44</v>
      </c>
    </row>
    <row r="127" s="21" customFormat="1" ht="21.5" customHeight="1" spans="1:7">
      <c r="A127" s="3">
        <v>2</v>
      </c>
      <c r="B127" s="3">
        <v>2150</v>
      </c>
      <c r="C127" s="3" t="s">
        <v>1843</v>
      </c>
      <c r="D127" s="22" t="s">
        <v>1844</v>
      </c>
      <c r="E127" s="22" t="s">
        <v>1874</v>
      </c>
      <c r="F127" s="23" t="s">
        <v>1462</v>
      </c>
      <c r="G127" s="23">
        <v>800</v>
      </c>
    </row>
    <row r="128" s="21" customFormat="1" ht="21.5" customHeight="1" spans="1:7">
      <c r="A128" s="3"/>
      <c r="B128" s="3">
        <v>2150</v>
      </c>
      <c r="C128" s="3" t="s">
        <v>1843</v>
      </c>
      <c r="D128" s="22"/>
      <c r="E128" s="22" t="s">
        <v>1845</v>
      </c>
      <c r="F128" s="23" t="s">
        <v>1462</v>
      </c>
      <c r="G128" s="23">
        <v>80</v>
      </c>
    </row>
    <row r="129" s="21" customFormat="1" ht="21.5" customHeight="1" spans="1:7">
      <c r="A129" s="3"/>
      <c r="B129" s="3">
        <v>2150</v>
      </c>
      <c r="C129" s="3" t="s">
        <v>1843</v>
      </c>
      <c r="D129" s="22"/>
      <c r="E129" s="22" t="s">
        <v>1846</v>
      </c>
      <c r="F129" s="23" t="s">
        <v>1462</v>
      </c>
      <c r="G129" s="23">
        <v>100</v>
      </c>
    </row>
    <row r="130" s="21" customFormat="1" ht="21.5" customHeight="1" spans="1:7">
      <c r="A130" s="3">
        <v>3</v>
      </c>
      <c r="B130" s="3">
        <v>2150</v>
      </c>
      <c r="C130" s="3" t="s">
        <v>1847</v>
      </c>
      <c r="D130" s="22" t="s">
        <v>1847</v>
      </c>
      <c r="E130" s="22" t="s">
        <v>1875</v>
      </c>
      <c r="F130" s="23" t="s">
        <v>1462</v>
      </c>
      <c r="G130" s="23">
        <v>783</v>
      </c>
    </row>
    <row r="131" s="21" customFormat="1" ht="21.5" customHeight="1" spans="1:7">
      <c r="A131" s="3"/>
      <c r="B131" s="3">
        <v>2150</v>
      </c>
      <c r="C131" s="3" t="s">
        <v>1847</v>
      </c>
      <c r="D131" s="22"/>
      <c r="E131" s="22" t="s">
        <v>1876</v>
      </c>
      <c r="F131" s="23" t="s">
        <v>1462</v>
      </c>
      <c r="G131" s="23">
        <v>1243</v>
      </c>
    </row>
    <row r="132" s="21" customFormat="1" ht="21.5" customHeight="1" spans="1:7">
      <c r="A132" s="3"/>
      <c r="B132" s="3">
        <v>2150</v>
      </c>
      <c r="C132" s="3" t="s">
        <v>1847</v>
      </c>
      <c r="D132" s="22"/>
      <c r="E132" s="22" t="s">
        <v>1877</v>
      </c>
      <c r="F132" s="23" t="s">
        <v>1462</v>
      </c>
      <c r="G132" s="23">
        <v>2904</v>
      </c>
    </row>
    <row r="133" s="21" customFormat="1" ht="21.5" customHeight="1" spans="1:7">
      <c r="A133" s="3"/>
      <c r="B133" s="3">
        <v>2150</v>
      </c>
      <c r="C133" s="3" t="s">
        <v>1847</v>
      </c>
      <c r="D133" s="22"/>
      <c r="E133" s="22" t="s">
        <v>1878</v>
      </c>
      <c r="F133" s="23" t="s">
        <v>1462</v>
      </c>
      <c r="G133" s="23">
        <v>2946</v>
      </c>
    </row>
    <row r="134" s="21" customFormat="1" ht="21.5" customHeight="1" spans="1:7">
      <c r="A134" s="15"/>
      <c r="B134" s="15"/>
      <c r="C134" s="15"/>
      <c r="D134" s="41"/>
      <c r="E134" s="41"/>
      <c r="F134" s="42"/>
      <c r="G134" s="43"/>
    </row>
    <row r="135" s="21" customFormat="1" ht="21" customHeight="1" spans="1:7">
      <c r="A135" s="12"/>
      <c r="B135" s="12"/>
      <c r="C135" s="12"/>
      <c r="D135" s="14" t="s">
        <v>34</v>
      </c>
      <c r="E135" s="13"/>
      <c r="F135" s="14"/>
      <c r="G135" s="14"/>
    </row>
    <row r="136" s="21" customFormat="1" ht="21" customHeight="1" spans="1:7">
      <c r="A136" s="12"/>
      <c r="B136" s="12"/>
      <c r="C136" s="12"/>
      <c r="D136" s="14" t="s">
        <v>661</v>
      </c>
      <c r="E136" s="13"/>
      <c r="F136" s="14"/>
      <c r="G136" s="14"/>
    </row>
    <row r="140" spans="1:7">
      <c r="E140" s="2" t="s">
        <v>1969</v>
      </c>
      <c r="F140" s="2" t="s">
        <v>5</v>
      </c>
      <c r="G140" s="2" t="s">
        <v>6</v>
      </c>
    </row>
    <row r="141" spans="1:7">
      <c r="E141" s="2" t="s">
        <v>1833</v>
      </c>
      <c r="G141" s="2">
        <f>SUMIF($C$4:$C$134,E141,$G$4:$G$134)</f>
        <v>9242.6</v>
      </c>
    </row>
    <row r="142" spans="1:7">
      <c r="E142" s="2" t="s">
        <v>1843</v>
      </c>
      <c r="G142" s="2">
        <f t="shared" ref="G142:G143" si="0">SUMIF($C$4:$C$134,E142,$G$4:$G$134)</f>
        <v>2944</v>
      </c>
    </row>
    <row r="143" spans="1:7">
      <c r="E143" s="2" t="s">
        <v>1847</v>
      </c>
      <c r="G143" s="2">
        <f t="shared" si="0"/>
        <v>18522.1</v>
      </c>
    </row>
    <row r="144" spans="1:7">
      <c r="E144" s="2" t="s">
        <v>865</v>
      </c>
      <c r="G144" s="2" t="e">
        <f>SUMIF($C$4:$C$134,E144,#REF!)</f>
        <v>#REF!</v>
      </c>
    </row>
    <row r="145" spans="5:7">
      <c r="E145" s="2" t="s">
        <v>1970</v>
      </c>
      <c r="G145" s="2" t="e">
        <f>SUMIF($C$4:$C$134,E145,#REF!)</f>
        <v>#REF!</v>
      </c>
    </row>
  </sheetData>
  <autoFilter xmlns:etc="http://www.wps.cn/officeDocument/2017/etCustomData" ref="A3:G136" etc:filterBottomFollowUsedRange="0">
    <extLst/>
  </autoFilter>
  <mergeCells count="5">
    <mergeCell ref="A1:A2"/>
    <mergeCell ref="D1:D2"/>
    <mergeCell ref="E1:E2"/>
    <mergeCell ref="F1:F2"/>
    <mergeCell ref="G1:G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outlinePr summaryBelow="0"/>
  </sheetPr>
  <dimension ref="A1:G586"/>
  <sheetViews>
    <sheetView showGridLines="0" zoomScale="85" zoomScaleNormal="85" workbookViewId="0">
      <pane ySplit="2" topLeftCell="A571" activePane="bottomLeft" state="frozen"/>
      <selection/>
      <selection pane="bottomLeft" activeCell="A1" sqref="$A1:$XFD1"/>
    </sheetView>
  </sheetViews>
  <sheetFormatPr defaultColWidth="8.8" defaultRowHeight="22" customHeight="1" outlineLevelCol="6"/>
  <cols>
    <col min="1" max="2" width="8.8" style="2"/>
    <col min="3" max="3" width="14.2" style="2" customWidth="1"/>
    <col min="4" max="4" width="20.8" style="2" customWidth="1"/>
    <col min="5" max="5" width="37.8" style="2" customWidth="1"/>
    <col min="6" max="6" width="8.8" style="2"/>
    <col min="7" max="7" width="11.2" style="2" customWidth="1"/>
    <col min="8" max="16384" width="8.8" style="2"/>
  </cols>
  <sheetData>
    <row r="1" customHeight="1" spans="1:7">
      <c r="A1" s="15" t="s">
        <v>0</v>
      </c>
      <c r="B1" s="16"/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customHeight="1" spans="1:7">
      <c r="A2" s="15"/>
      <c r="B2" s="17"/>
      <c r="C2" s="17"/>
      <c r="D2" s="15"/>
      <c r="E2" s="15"/>
      <c r="F2" s="15"/>
      <c r="G2" s="15"/>
    </row>
    <row r="3" customHeight="1" spans="1:7">
      <c r="A3" s="15"/>
      <c r="B3" s="17"/>
      <c r="C3" s="17"/>
      <c r="D3" s="15"/>
      <c r="E3" s="15" t="s">
        <v>1971</v>
      </c>
      <c r="F3" s="15"/>
      <c r="G3" s="15"/>
    </row>
    <row r="4" customHeight="1" spans="1:7">
      <c r="A4" s="15"/>
      <c r="B4" s="17"/>
      <c r="C4" s="17"/>
      <c r="D4" s="15"/>
      <c r="E4" s="19" t="s">
        <v>1972</v>
      </c>
      <c r="F4" s="15"/>
      <c r="G4" s="15"/>
    </row>
    <row r="5" s="21" customFormat="1" ht="21.5" customHeight="1" spans="1:7">
      <c r="A5" s="3">
        <v>1</v>
      </c>
      <c r="B5" s="3"/>
      <c r="C5" s="3"/>
      <c r="D5" s="22" t="s">
        <v>1973</v>
      </c>
      <c r="E5" s="10"/>
      <c r="F5" s="23"/>
      <c r="G5" s="23"/>
    </row>
    <row r="6" s="21" customFormat="1" ht="21.5" customHeight="1" spans="1:7">
      <c r="A6" s="3">
        <v>1.1</v>
      </c>
      <c r="B6" s="3"/>
      <c r="C6" s="3"/>
      <c r="D6" s="22" t="s">
        <v>1974</v>
      </c>
      <c r="E6" s="10"/>
      <c r="F6" s="23"/>
      <c r="G6" s="23"/>
    </row>
    <row r="7" s="21" customFormat="1" ht="21.5" customHeight="1" spans="1:7">
      <c r="A7" s="3" t="s">
        <v>1975</v>
      </c>
      <c r="B7" s="3">
        <v>2102</v>
      </c>
      <c r="C7" s="3"/>
      <c r="D7" s="22" t="s">
        <v>1976</v>
      </c>
      <c r="E7" s="10" t="s">
        <v>1977</v>
      </c>
      <c r="F7" s="23" t="s">
        <v>26</v>
      </c>
      <c r="G7" s="23">
        <v>0</v>
      </c>
    </row>
    <row r="8" s="21" customFormat="1" ht="21.5" customHeight="1" spans="1:7">
      <c r="A8" s="3"/>
      <c r="B8" s="3">
        <v>2102</v>
      </c>
      <c r="C8" s="3"/>
      <c r="D8" s="22" t="s">
        <v>1978</v>
      </c>
      <c r="E8" s="10" t="s">
        <v>1979</v>
      </c>
      <c r="F8" s="23" t="s">
        <v>12</v>
      </c>
      <c r="G8" s="23">
        <v>2</v>
      </c>
    </row>
    <row r="9" s="21" customFormat="1" ht="21.5" customHeight="1" spans="1:7">
      <c r="A9" s="3"/>
      <c r="B9" s="3">
        <v>2102</v>
      </c>
      <c r="C9" s="3"/>
      <c r="D9" s="22" t="s">
        <v>1980</v>
      </c>
      <c r="E9" s="10" t="s">
        <v>1981</v>
      </c>
      <c r="F9" s="23" t="s">
        <v>826</v>
      </c>
      <c r="G9" s="23">
        <v>15</v>
      </c>
    </row>
    <row r="10" s="21" customFormat="1" ht="21.5" customHeight="1" spans="1:7">
      <c r="A10" s="3" t="s">
        <v>1982</v>
      </c>
      <c r="B10" s="3">
        <v>2102</v>
      </c>
      <c r="C10" s="3"/>
      <c r="D10" s="22" t="s">
        <v>1983</v>
      </c>
      <c r="E10" s="10" t="s">
        <v>1984</v>
      </c>
      <c r="F10" s="23" t="s">
        <v>23</v>
      </c>
      <c r="G10" s="35">
        <v>0</v>
      </c>
    </row>
    <row r="11" s="21" customFormat="1" ht="21.5" customHeight="1" spans="1:7">
      <c r="A11" s="3" t="s">
        <v>1985</v>
      </c>
      <c r="B11" s="3">
        <v>2102</v>
      </c>
      <c r="C11" s="3"/>
      <c r="D11" s="22" t="s">
        <v>1986</v>
      </c>
      <c r="E11" s="10" t="s">
        <v>1987</v>
      </c>
      <c r="F11" s="23" t="s">
        <v>1895</v>
      </c>
      <c r="G11" s="23">
        <v>2</v>
      </c>
    </row>
    <row r="12" s="21" customFormat="1" ht="21.5" customHeight="1" spans="1:7">
      <c r="A12" s="3"/>
      <c r="B12" s="3">
        <v>2102</v>
      </c>
      <c r="C12" s="3"/>
      <c r="D12" s="22" t="s">
        <v>1988</v>
      </c>
      <c r="E12" s="10" t="s">
        <v>1989</v>
      </c>
      <c r="F12" s="23" t="s">
        <v>1895</v>
      </c>
      <c r="G12" s="23">
        <v>1</v>
      </c>
    </row>
    <row r="13" s="21" customFormat="1" ht="21.5" customHeight="1" spans="1:7">
      <c r="A13" s="3" t="s">
        <v>1990</v>
      </c>
      <c r="B13" s="3">
        <v>2102</v>
      </c>
      <c r="C13" s="3"/>
      <c r="D13" s="22" t="s">
        <v>1991</v>
      </c>
      <c r="E13" s="10" t="s">
        <v>1992</v>
      </c>
      <c r="F13" s="23" t="s">
        <v>1895</v>
      </c>
      <c r="G13" s="23">
        <v>2</v>
      </c>
    </row>
    <row r="14" s="21" customFormat="1" ht="21.5" customHeight="1" spans="1:7">
      <c r="A14" s="3"/>
      <c r="B14" s="3">
        <v>2102</v>
      </c>
      <c r="C14" s="3"/>
      <c r="D14" s="22" t="s">
        <v>1991</v>
      </c>
      <c r="E14" s="10" t="s">
        <v>1993</v>
      </c>
      <c r="F14" s="23" t="s">
        <v>1895</v>
      </c>
      <c r="G14" s="23">
        <v>2</v>
      </c>
    </row>
    <row r="15" s="21" customFormat="1" ht="21.5" customHeight="1" spans="1:7">
      <c r="A15" s="3"/>
      <c r="B15" s="3">
        <v>2102</v>
      </c>
      <c r="C15" s="3"/>
      <c r="D15" s="22" t="s">
        <v>1991</v>
      </c>
      <c r="E15" s="10" t="s">
        <v>1994</v>
      </c>
      <c r="F15" s="23" t="s">
        <v>1895</v>
      </c>
      <c r="G15" s="23">
        <v>2</v>
      </c>
    </row>
    <row r="16" s="21" customFormat="1" ht="21.5" customHeight="1" spans="1:7">
      <c r="A16" s="3"/>
      <c r="B16" s="3">
        <v>2102</v>
      </c>
      <c r="C16" s="3"/>
      <c r="D16" s="22" t="s">
        <v>1995</v>
      </c>
      <c r="E16" s="10" t="s">
        <v>1996</v>
      </c>
      <c r="F16" s="23" t="s">
        <v>1895</v>
      </c>
      <c r="G16" s="23">
        <v>2</v>
      </c>
    </row>
    <row r="17" s="21" customFormat="1" ht="21.5" customHeight="1" spans="1:7">
      <c r="A17" s="3" t="s">
        <v>125</v>
      </c>
      <c r="B17" s="3">
        <v>2102</v>
      </c>
      <c r="C17" s="3"/>
      <c r="D17" s="22" t="s">
        <v>1997</v>
      </c>
      <c r="E17" s="10" t="s">
        <v>1998</v>
      </c>
      <c r="F17" s="23" t="s">
        <v>26</v>
      </c>
      <c r="G17" s="23">
        <v>2</v>
      </c>
    </row>
    <row r="18" s="21" customFormat="1" ht="21.5" customHeight="1" spans="1:7">
      <c r="A18" s="3"/>
      <c r="B18" s="3">
        <v>2102</v>
      </c>
      <c r="C18" s="3"/>
      <c r="D18" s="22" t="s">
        <v>1997</v>
      </c>
      <c r="E18" s="10" t="s">
        <v>1999</v>
      </c>
      <c r="F18" s="23" t="s">
        <v>26</v>
      </c>
      <c r="G18" s="23">
        <v>2</v>
      </c>
    </row>
    <row r="19" s="21" customFormat="1" ht="21.5" customHeight="1" spans="1:7">
      <c r="A19" s="3"/>
      <c r="B19" s="3">
        <v>2102</v>
      </c>
      <c r="C19" s="3"/>
      <c r="D19" s="22" t="s">
        <v>1997</v>
      </c>
      <c r="E19" s="10" t="s">
        <v>2000</v>
      </c>
      <c r="F19" s="23" t="s">
        <v>26</v>
      </c>
      <c r="G19" s="23">
        <v>2</v>
      </c>
    </row>
    <row r="20" s="21" customFormat="1" ht="21.5" customHeight="1" spans="1:7">
      <c r="A20" s="3" t="s">
        <v>1571</v>
      </c>
      <c r="B20" s="3">
        <v>2102</v>
      </c>
      <c r="C20" s="3"/>
      <c r="D20" s="22" t="s">
        <v>2001</v>
      </c>
      <c r="E20" s="10" t="s">
        <v>2002</v>
      </c>
      <c r="F20" s="23" t="s">
        <v>26</v>
      </c>
      <c r="G20" s="23">
        <v>6</v>
      </c>
    </row>
    <row r="21" s="21" customFormat="1" ht="21.5" customHeight="1" spans="1:7">
      <c r="A21" s="3"/>
      <c r="B21" s="3">
        <v>2102</v>
      </c>
      <c r="C21" s="3"/>
      <c r="D21" s="22" t="s">
        <v>2001</v>
      </c>
      <c r="E21" s="10" t="s">
        <v>2003</v>
      </c>
      <c r="F21" s="23" t="s">
        <v>26</v>
      </c>
      <c r="G21" s="23">
        <v>6</v>
      </c>
    </row>
    <row r="22" s="21" customFormat="1" ht="21.5" customHeight="1" spans="1:7">
      <c r="A22" s="3" t="s">
        <v>2004</v>
      </c>
      <c r="B22" s="3">
        <v>2102</v>
      </c>
      <c r="C22" s="3"/>
      <c r="D22" s="22" t="s">
        <v>2005</v>
      </c>
      <c r="E22" s="10" t="s">
        <v>2006</v>
      </c>
      <c r="F22" s="23" t="s">
        <v>26</v>
      </c>
      <c r="G22" s="23">
        <v>16</v>
      </c>
    </row>
    <row r="23" s="21" customFormat="1" ht="21.5" customHeight="1" spans="1:7">
      <c r="A23" s="3" t="s">
        <v>2007</v>
      </c>
      <c r="B23" s="3">
        <v>2102</v>
      </c>
      <c r="C23" s="3"/>
      <c r="D23" s="22" t="s">
        <v>1898</v>
      </c>
      <c r="E23" s="10" t="s">
        <v>2008</v>
      </c>
      <c r="F23" s="23" t="s">
        <v>26</v>
      </c>
      <c r="G23" s="23">
        <v>12</v>
      </c>
    </row>
    <row r="24" s="21" customFormat="1" ht="21.5" customHeight="1" spans="1:7">
      <c r="A24" s="3">
        <v>1.2</v>
      </c>
      <c r="B24" s="3">
        <v>2102</v>
      </c>
      <c r="C24" s="3"/>
      <c r="D24" s="22" t="s">
        <v>2009</v>
      </c>
      <c r="E24" s="10"/>
      <c r="F24" s="23"/>
      <c r="G24" s="23"/>
    </row>
    <row r="25" s="21" customFormat="1" ht="21.5" customHeight="1" spans="1:7">
      <c r="A25" s="3" t="s">
        <v>1975</v>
      </c>
      <c r="B25" s="3">
        <v>2102</v>
      </c>
      <c r="C25" s="3" t="s">
        <v>2010</v>
      </c>
      <c r="D25" s="22" t="s">
        <v>2011</v>
      </c>
      <c r="E25" s="10" t="s">
        <v>2012</v>
      </c>
      <c r="F25" s="23" t="s">
        <v>826</v>
      </c>
      <c r="G25" s="23">
        <v>3388</v>
      </c>
    </row>
    <row r="26" s="21" customFormat="1" ht="21.5" customHeight="1" spans="1:7">
      <c r="A26" s="3"/>
      <c r="B26" s="3">
        <v>2102</v>
      </c>
      <c r="C26" s="3" t="s">
        <v>2010</v>
      </c>
      <c r="D26" s="22" t="s">
        <v>2011</v>
      </c>
      <c r="E26" s="10" t="s">
        <v>2013</v>
      </c>
      <c r="F26" s="23" t="s">
        <v>826</v>
      </c>
      <c r="G26" s="23">
        <v>1656</v>
      </c>
    </row>
    <row r="27" s="21" customFormat="1" ht="21.5" customHeight="1" spans="1:7">
      <c r="A27" s="3" t="s">
        <v>1982</v>
      </c>
      <c r="B27" s="3">
        <v>2102</v>
      </c>
      <c r="C27" s="3" t="s">
        <v>2010</v>
      </c>
      <c r="D27" s="22" t="s">
        <v>2014</v>
      </c>
      <c r="E27" s="10" t="s">
        <v>2015</v>
      </c>
      <c r="F27" s="23" t="s">
        <v>826</v>
      </c>
      <c r="G27" s="23">
        <v>1716</v>
      </c>
    </row>
    <row r="28" s="21" customFormat="1" ht="21.5" customHeight="1" spans="1:7">
      <c r="A28" s="3" t="s">
        <v>1985</v>
      </c>
      <c r="B28" s="3"/>
      <c r="C28" s="3"/>
      <c r="D28" s="22" t="s">
        <v>1843</v>
      </c>
      <c r="E28" s="10"/>
      <c r="F28" s="23"/>
      <c r="G28" s="23"/>
    </row>
    <row r="29" s="21" customFormat="1" ht="21.5" customHeight="1" spans="1:7">
      <c r="A29" s="3"/>
      <c r="B29" s="3">
        <v>2102</v>
      </c>
      <c r="C29" s="3" t="s">
        <v>1843</v>
      </c>
      <c r="D29" s="22" t="s">
        <v>1843</v>
      </c>
      <c r="E29" s="10" t="s">
        <v>2016</v>
      </c>
      <c r="F29" s="23" t="s">
        <v>826</v>
      </c>
      <c r="G29" s="23">
        <v>979</v>
      </c>
    </row>
    <row r="30" s="21" customFormat="1" ht="21.5" customHeight="1" spans="1:7">
      <c r="A30" s="3"/>
      <c r="B30" s="3">
        <v>2102</v>
      </c>
      <c r="C30" s="3" t="s">
        <v>1843</v>
      </c>
      <c r="D30" s="22" t="s">
        <v>1843</v>
      </c>
      <c r="E30" s="10" t="s">
        <v>2017</v>
      </c>
      <c r="F30" s="23" t="s">
        <v>826</v>
      </c>
      <c r="G30" s="23">
        <v>1558</v>
      </c>
    </row>
    <row r="31" s="21" customFormat="1" ht="21.5" customHeight="1" spans="1:7">
      <c r="A31" s="3"/>
      <c r="B31" s="3">
        <v>2102</v>
      </c>
      <c r="C31" s="3" t="s">
        <v>1843</v>
      </c>
      <c r="D31" s="22" t="s">
        <v>1843</v>
      </c>
      <c r="E31" s="10" t="s">
        <v>2018</v>
      </c>
      <c r="F31" s="23" t="s">
        <v>826</v>
      </c>
      <c r="G31" s="23">
        <v>512</v>
      </c>
    </row>
    <row r="32" s="21" customFormat="1" ht="21.5" customHeight="1" spans="1:7">
      <c r="A32" s="3"/>
      <c r="B32" s="3">
        <v>2102</v>
      </c>
      <c r="C32" s="3" t="s">
        <v>1843</v>
      </c>
      <c r="D32" s="22" t="s">
        <v>1843</v>
      </c>
      <c r="E32" s="10" t="s">
        <v>2019</v>
      </c>
      <c r="F32" s="23" t="s">
        <v>826</v>
      </c>
      <c r="G32" s="23">
        <v>1048</v>
      </c>
    </row>
    <row r="33" s="21" customFormat="1" ht="21.5" customHeight="1" spans="1:7">
      <c r="A33" s="3"/>
      <c r="B33" s="3">
        <v>2102</v>
      </c>
      <c r="C33" s="3" t="s">
        <v>1843</v>
      </c>
      <c r="D33" s="22" t="s">
        <v>1843</v>
      </c>
      <c r="E33" s="10" t="s">
        <v>2020</v>
      </c>
      <c r="F33" s="23" t="s">
        <v>826</v>
      </c>
      <c r="G33" s="23">
        <v>2720</v>
      </c>
    </row>
    <row r="34" s="21" customFormat="1" ht="21.5" customHeight="1" spans="1:7">
      <c r="A34" s="3"/>
      <c r="B34" s="3">
        <v>2102</v>
      </c>
      <c r="C34" s="3" t="s">
        <v>1843</v>
      </c>
      <c r="D34" s="22" t="s">
        <v>1843</v>
      </c>
      <c r="E34" s="10" t="s">
        <v>2021</v>
      </c>
      <c r="F34" s="23" t="s">
        <v>826</v>
      </c>
      <c r="G34" s="23">
        <v>2120</v>
      </c>
    </row>
    <row r="35" s="21" customFormat="1" ht="21.5" customHeight="1" spans="1:7">
      <c r="A35" s="3" t="s">
        <v>1990</v>
      </c>
      <c r="B35" s="3">
        <v>2102</v>
      </c>
      <c r="C35" s="3" t="s">
        <v>1970</v>
      </c>
      <c r="D35" s="22" t="s">
        <v>1970</v>
      </c>
      <c r="E35" s="10" t="s">
        <v>2022</v>
      </c>
      <c r="F35" s="23" t="s">
        <v>1210</v>
      </c>
      <c r="G35" s="23">
        <v>48.525</v>
      </c>
    </row>
    <row r="36" s="21" customFormat="1" ht="21.5" customHeight="1" spans="1:7">
      <c r="A36" s="3" t="s">
        <v>2023</v>
      </c>
      <c r="B36" s="3">
        <v>2102</v>
      </c>
      <c r="C36" s="3" t="s">
        <v>2024</v>
      </c>
      <c r="D36" s="22" t="s">
        <v>2024</v>
      </c>
      <c r="E36" s="10" t="s">
        <v>2025</v>
      </c>
      <c r="F36" s="23" t="s">
        <v>1210</v>
      </c>
      <c r="G36" s="23">
        <v>9.705</v>
      </c>
    </row>
    <row r="37" s="21" customFormat="1" ht="21.5" customHeight="1" spans="1:7">
      <c r="A37" s="3" t="s">
        <v>2026</v>
      </c>
      <c r="B37" s="3">
        <v>2102</v>
      </c>
      <c r="C37" s="3"/>
      <c r="D37" s="22" t="s">
        <v>2027</v>
      </c>
      <c r="E37" s="10"/>
      <c r="F37" s="23" t="s">
        <v>1316</v>
      </c>
      <c r="G37" s="23">
        <v>33630</v>
      </c>
    </row>
    <row r="38" s="21" customFormat="1" ht="21.5" customHeight="1" spans="1:7">
      <c r="A38" s="3"/>
      <c r="B38" s="3">
        <v>2102</v>
      </c>
      <c r="C38" s="3"/>
      <c r="D38" s="22" t="s">
        <v>2028</v>
      </c>
      <c r="E38" s="10"/>
      <c r="F38" s="23" t="s">
        <v>1316</v>
      </c>
      <c r="G38" s="23">
        <v>33630</v>
      </c>
    </row>
    <row r="39" s="21" customFormat="1" ht="21.5" customHeight="1" spans="1:7">
      <c r="A39" s="3" t="s">
        <v>2004</v>
      </c>
      <c r="B39" s="3">
        <v>2102</v>
      </c>
      <c r="C39" s="3"/>
      <c r="D39" s="22" t="s">
        <v>2029</v>
      </c>
      <c r="E39" s="10"/>
      <c r="F39" s="23" t="s">
        <v>1316</v>
      </c>
      <c r="G39" s="23">
        <v>7500</v>
      </c>
    </row>
    <row r="40" s="21" customFormat="1" ht="21.5" customHeight="1" spans="1:7">
      <c r="A40" s="3"/>
      <c r="B40" s="3"/>
      <c r="C40" s="3"/>
      <c r="D40" s="22"/>
      <c r="E40" s="10"/>
      <c r="F40" s="23"/>
      <c r="G40" s="23"/>
    </row>
    <row r="41" s="21" customFormat="1" ht="21.5" customHeight="1" spans="1:7">
      <c r="A41" s="36"/>
      <c r="B41" s="36"/>
      <c r="C41" s="36"/>
      <c r="D41" s="25" t="s">
        <v>34</v>
      </c>
      <c r="E41" s="37"/>
      <c r="F41" s="38"/>
      <c r="G41" s="38"/>
    </row>
    <row r="42" s="21" customFormat="1" ht="21.5" customHeight="1" spans="1:7">
      <c r="A42" s="3" t="s">
        <v>1985</v>
      </c>
      <c r="B42" s="3"/>
      <c r="C42" s="3"/>
      <c r="D42" s="22" t="s">
        <v>2030</v>
      </c>
      <c r="E42" s="10"/>
      <c r="F42" s="23"/>
      <c r="G42" s="23"/>
    </row>
    <row r="43" s="21" customFormat="1" ht="21.5" customHeight="1" spans="1:7">
      <c r="A43" s="3"/>
      <c r="B43" s="3">
        <v>2123</v>
      </c>
      <c r="C43" s="3"/>
      <c r="D43" s="22" t="s">
        <v>2031</v>
      </c>
      <c r="E43" s="10" t="s">
        <v>2032</v>
      </c>
      <c r="F43" s="23" t="s">
        <v>1895</v>
      </c>
      <c r="G43" s="23">
        <v>2</v>
      </c>
    </row>
    <row r="44" s="21" customFormat="1" ht="21.5" customHeight="1" spans="1:7">
      <c r="A44" s="3" t="s">
        <v>1990</v>
      </c>
      <c r="B44" s="3">
        <v>2123</v>
      </c>
      <c r="C44" s="3"/>
      <c r="D44" s="22" t="s">
        <v>2033</v>
      </c>
      <c r="E44" s="10"/>
      <c r="F44" s="23"/>
      <c r="G44" s="23"/>
    </row>
    <row r="45" s="21" customFormat="1" ht="21.5" customHeight="1" spans="1:7">
      <c r="A45" s="3"/>
      <c r="B45" s="3">
        <v>2123</v>
      </c>
      <c r="C45" s="3"/>
      <c r="D45" s="22" t="s">
        <v>2034</v>
      </c>
      <c r="E45" s="10" t="s">
        <v>2035</v>
      </c>
      <c r="F45" s="23" t="s">
        <v>1895</v>
      </c>
      <c r="G45" s="23">
        <v>3</v>
      </c>
    </row>
    <row r="46" s="21" customFormat="1" ht="21.5" customHeight="1" spans="1:7">
      <c r="A46" s="3"/>
      <c r="B46" s="3">
        <v>2123</v>
      </c>
      <c r="C46" s="3"/>
      <c r="D46" s="22" t="s">
        <v>2036</v>
      </c>
      <c r="E46" s="10" t="s">
        <v>2037</v>
      </c>
      <c r="F46" s="23" t="s">
        <v>1895</v>
      </c>
      <c r="G46" s="23">
        <v>2</v>
      </c>
    </row>
    <row r="47" s="21" customFormat="1" ht="21.5" customHeight="1" spans="1:7">
      <c r="A47" s="3"/>
      <c r="B47" s="3">
        <v>2123</v>
      </c>
      <c r="C47" s="3"/>
      <c r="D47" s="22" t="s">
        <v>2038</v>
      </c>
      <c r="E47" s="10" t="s">
        <v>2039</v>
      </c>
      <c r="F47" s="23" t="s">
        <v>12</v>
      </c>
      <c r="G47" s="23">
        <v>1</v>
      </c>
    </row>
    <row r="48" s="21" customFormat="1" ht="21.5" customHeight="1" spans="1:7">
      <c r="A48" s="3"/>
      <c r="B48" s="3">
        <v>2123</v>
      </c>
      <c r="C48" s="3"/>
      <c r="D48" s="22" t="s">
        <v>2040</v>
      </c>
      <c r="E48" s="10" t="s">
        <v>2041</v>
      </c>
      <c r="F48" s="23" t="s">
        <v>12</v>
      </c>
      <c r="G48" s="23">
        <v>2</v>
      </c>
    </row>
    <row r="49" s="34" customFormat="1" ht="21.5" customHeight="1" spans="1:7">
      <c r="A49" s="3"/>
      <c r="B49" s="3">
        <v>2123</v>
      </c>
      <c r="C49" s="3"/>
      <c r="D49" s="22" t="s">
        <v>2030</v>
      </c>
      <c r="E49" s="10"/>
      <c r="F49" s="23"/>
      <c r="G49" s="23"/>
    </row>
    <row r="50" s="34" customFormat="1" ht="21.5" customHeight="1" spans="1:7">
      <c r="A50" s="3" t="s">
        <v>1975</v>
      </c>
      <c r="B50" s="3">
        <v>2123</v>
      </c>
      <c r="C50" s="3" t="s">
        <v>1843</v>
      </c>
      <c r="D50" s="22" t="s">
        <v>1843</v>
      </c>
      <c r="E50" s="10"/>
      <c r="F50" s="23"/>
      <c r="G50" s="23"/>
    </row>
    <row r="51" s="34" customFormat="1" ht="21.5" customHeight="1" spans="1:7">
      <c r="A51" s="3"/>
      <c r="B51" s="3">
        <v>2123</v>
      </c>
      <c r="C51" s="3" t="s">
        <v>1843</v>
      </c>
      <c r="D51" s="22" t="s">
        <v>1843</v>
      </c>
      <c r="E51" s="10" t="s">
        <v>2042</v>
      </c>
      <c r="F51" s="23" t="s">
        <v>826</v>
      </c>
      <c r="G51" s="23">
        <v>364</v>
      </c>
    </row>
    <row r="52" s="34" customFormat="1" ht="21.5" customHeight="1" spans="1:7">
      <c r="A52" s="3"/>
      <c r="B52" s="3">
        <v>2123</v>
      </c>
      <c r="C52" s="3" t="s">
        <v>1843</v>
      </c>
      <c r="D52" s="22" t="s">
        <v>1843</v>
      </c>
      <c r="E52" s="10" t="s">
        <v>2043</v>
      </c>
      <c r="F52" s="23" t="s">
        <v>826</v>
      </c>
      <c r="G52" s="23">
        <v>364</v>
      </c>
    </row>
    <row r="53" s="34" customFormat="1" ht="21.5" customHeight="1" spans="1:7">
      <c r="A53" s="3"/>
      <c r="B53" s="3">
        <v>2123</v>
      </c>
      <c r="C53" s="3" t="s">
        <v>1843</v>
      </c>
      <c r="D53" s="22" t="s">
        <v>1843</v>
      </c>
      <c r="E53" s="10" t="s">
        <v>2021</v>
      </c>
      <c r="F53" s="23" t="s">
        <v>826</v>
      </c>
      <c r="G53" s="23">
        <v>320</v>
      </c>
    </row>
    <row r="54" s="34" customFormat="1" ht="21.5" customHeight="1" spans="1:7">
      <c r="A54" s="3" t="s">
        <v>1982</v>
      </c>
      <c r="B54" s="3">
        <v>2123</v>
      </c>
      <c r="C54" s="3" t="s">
        <v>1847</v>
      </c>
      <c r="D54" s="22" t="s">
        <v>1847</v>
      </c>
      <c r="E54" s="10"/>
      <c r="F54" s="23"/>
      <c r="G54" s="23"/>
    </row>
    <row r="55" s="34" customFormat="1" ht="21.5" customHeight="1" spans="1:7">
      <c r="A55" s="3"/>
      <c r="B55" s="3">
        <v>2123</v>
      </c>
      <c r="C55" s="3" t="s">
        <v>1847</v>
      </c>
      <c r="D55" s="22" t="s">
        <v>1847</v>
      </c>
      <c r="E55" s="10" t="s">
        <v>2044</v>
      </c>
      <c r="F55" s="23" t="s">
        <v>826</v>
      </c>
      <c r="G55" s="23">
        <v>450</v>
      </c>
    </row>
    <row r="56" s="34" customFormat="1" ht="21.5" customHeight="1" spans="1:7">
      <c r="A56" s="3" t="s">
        <v>1985</v>
      </c>
      <c r="B56" s="3">
        <v>2123</v>
      </c>
      <c r="C56" s="3" t="s">
        <v>1970</v>
      </c>
      <c r="D56" s="22" t="s">
        <v>1970</v>
      </c>
      <c r="E56" s="10" t="s">
        <v>2022</v>
      </c>
      <c r="F56" s="23" t="s">
        <v>1210</v>
      </c>
      <c r="G56" s="23">
        <v>3.5</v>
      </c>
    </row>
    <row r="57" s="34" customFormat="1" ht="21.5" customHeight="1" spans="1:7">
      <c r="A57" s="3" t="s">
        <v>1990</v>
      </c>
      <c r="B57" s="3">
        <v>2123</v>
      </c>
      <c r="C57" s="3" t="s">
        <v>831</v>
      </c>
      <c r="D57" s="22" t="s">
        <v>2045</v>
      </c>
      <c r="E57" s="10" t="s">
        <v>2046</v>
      </c>
      <c r="F57" s="23" t="s">
        <v>1210</v>
      </c>
      <c r="G57" s="23">
        <v>0.525</v>
      </c>
    </row>
    <row r="58" s="34" customFormat="1" ht="21.5" customHeight="1" spans="1:7">
      <c r="A58" s="3" t="s">
        <v>2023</v>
      </c>
      <c r="B58" s="3">
        <v>2123</v>
      </c>
      <c r="C58" s="3" t="s">
        <v>2024</v>
      </c>
      <c r="D58" s="22" t="s">
        <v>2024</v>
      </c>
      <c r="E58" s="10" t="s">
        <v>2025</v>
      </c>
      <c r="F58" s="23" t="s">
        <v>1210</v>
      </c>
      <c r="G58" s="23">
        <v>1.2</v>
      </c>
    </row>
    <row r="59" s="21" customFormat="1" ht="21.5" customHeight="1" spans="1:7">
      <c r="A59" s="36"/>
      <c r="B59" s="36"/>
      <c r="C59" s="36"/>
      <c r="D59" s="25" t="s">
        <v>34</v>
      </c>
      <c r="E59" s="37"/>
      <c r="F59" s="38"/>
      <c r="G59" s="38"/>
    </row>
    <row r="60" s="34" customFormat="1" ht="21.5" customHeight="1" spans="1:7">
      <c r="A60" s="3"/>
      <c r="B60" s="3"/>
      <c r="C60" s="3"/>
      <c r="D60" s="22"/>
      <c r="E60" s="10"/>
      <c r="F60" s="23"/>
      <c r="G60" s="23"/>
    </row>
    <row r="61" s="34" customFormat="1" ht="21.5" customHeight="1" spans="1:7">
      <c r="A61" s="3" t="s">
        <v>1982</v>
      </c>
      <c r="B61" s="3">
        <v>2125</v>
      </c>
      <c r="C61" s="3"/>
      <c r="D61" s="22" t="s">
        <v>2047</v>
      </c>
      <c r="E61" s="10"/>
      <c r="F61" s="23"/>
      <c r="G61" s="23"/>
    </row>
    <row r="62" s="34" customFormat="1" ht="21.5" customHeight="1" spans="1:7">
      <c r="A62" s="3"/>
      <c r="B62" s="3">
        <v>2125</v>
      </c>
      <c r="C62" s="3"/>
      <c r="D62" s="22" t="s">
        <v>1976</v>
      </c>
      <c r="E62" s="10" t="s">
        <v>1977</v>
      </c>
      <c r="F62" s="23" t="s">
        <v>26</v>
      </c>
      <c r="G62" s="23">
        <v>1</v>
      </c>
    </row>
    <row r="63" s="34" customFormat="1" ht="21.5" customHeight="1" spans="1:7">
      <c r="A63" s="3"/>
      <c r="B63" s="3">
        <v>2125</v>
      </c>
      <c r="C63" s="3"/>
      <c r="D63" s="22" t="s">
        <v>2048</v>
      </c>
      <c r="E63" s="10" t="s">
        <v>2049</v>
      </c>
      <c r="F63" s="23" t="s">
        <v>12</v>
      </c>
      <c r="G63" s="23">
        <v>1</v>
      </c>
    </row>
    <row r="64" s="34" customFormat="1" ht="21.5" customHeight="1" spans="1:7">
      <c r="A64" s="3"/>
      <c r="B64" s="3">
        <v>2125</v>
      </c>
      <c r="C64" s="3"/>
      <c r="D64" s="22" t="s">
        <v>1980</v>
      </c>
      <c r="E64" s="10" t="s">
        <v>2050</v>
      </c>
      <c r="F64" s="23" t="s">
        <v>826</v>
      </c>
      <c r="G64" s="23">
        <v>5</v>
      </c>
    </row>
    <row r="65" s="34" customFormat="1" ht="21.5" customHeight="1" spans="1:7">
      <c r="A65" s="3"/>
      <c r="B65" s="3">
        <v>2125</v>
      </c>
      <c r="C65" s="3"/>
      <c r="D65" s="22" t="s">
        <v>1983</v>
      </c>
      <c r="E65" s="10" t="s">
        <v>2051</v>
      </c>
      <c r="F65" s="23" t="s">
        <v>23</v>
      </c>
      <c r="G65" s="35">
        <v>0</v>
      </c>
    </row>
    <row r="66" s="34" customFormat="1" ht="21.5" customHeight="1" spans="1:7">
      <c r="A66" s="3"/>
      <c r="B66" s="3">
        <v>2125</v>
      </c>
      <c r="C66" s="3"/>
      <c r="D66" s="22" t="s">
        <v>2052</v>
      </c>
      <c r="E66" s="10" t="s">
        <v>2035</v>
      </c>
      <c r="F66" s="23" t="s">
        <v>1895</v>
      </c>
      <c r="G66" s="23">
        <v>5</v>
      </c>
    </row>
    <row r="67" s="34" customFormat="1" ht="21.5" customHeight="1" spans="1:7">
      <c r="A67" s="3"/>
      <c r="B67" s="3">
        <v>2125</v>
      </c>
      <c r="C67" s="3"/>
      <c r="D67" s="22" t="s">
        <v>2053</v>
      </c>
      <c r="E67" s="10" t="s">
        <v>2035</v>
      </c>
      <c r="F67" s="23" t="s">
        <v>1895</v>
      </c>
      <c r="G67" s="23">
        <v>1</v>
      </c>
    </row>
    <row r="68" s="34" customFormat="1" ht="21.5" customHeight="1" spans="1:7">
      <c r="A68" s="3"/>
      <c r="B68" s="3">
        <v>2125</v>
      </c>
      <c r="C68" s="3"/>
      <c r="D68" s="22" t="s">
        <v>2054</v>
      </c>
      <c r="E68" s="10" t="s">
        <v>2055</v>
      </c>
      <c r="F68" s="23" t="s">
        <v>12</v>
      </c>
      <c r="G68" s="23">
        <v>0</v>
      </c>
    </row>
    <row r="69" s="34" customFormat="1" ht="21.5" customHeight="1" spans="1:7">
      <c r="A69" s="3"/>
      <c r="B69" s="3">
        <v>2125</v>
      </c>
      <c r="C69" s="3"/>
      <c r="D69" s="22" t="s">
        <v>2054</v>
      </c>
      <c r="E69" s="10" t="s">
        <v>2056</v>
      </c>
      <c r="F69" s="23" t="s">
        <v>12</v>
      </c>
      <c r="G69" s="23">
        <v>2</v>
      </c>
    </row>
    <row r="70" s="34" customFormat="1" ht="21.5" customHeight="1" spans="1:7">
      <c r="A70" s="3"/>
      <c r="B70" s="3">
        <v>2125</v>
      </c>
      <c r="C70" s="3"/>
      <c r="D70" s="22" t="s">
        <v>2057</v>
      </c>
      <c r="E70" s="10" t="s">
        <v>2058</v>
      </c>
      <c r="F70" s="23" t="s">
        <v>12</v>
      </c>
      <c r="G70" s="23">
        <v>1</v>
      </c>
    </row>
    <row r="71" s="34" customFormat="1" ht="21.5" customHeight="1" spans="1:7">
      <c r="A71" s="3"/>
      <c r="B71" s="3">
        <v>2125</v>
      </c>
      <c r="C71" s="3"/>
      <c r="D71" s="22" t="s">
        <v>2057</v>
      </c>
      <c r="E71" s="10" t="s">
        <v>2059</v>
      </c>
      <c r="F71" s="23" t="s">
        <v>12</v>
      </c>
      <c r="G71" s="23">
        <v>1</v>
      </c>
    </row>
    <row r="72" s="34" customFormat="1" ht="21.5" customHeight="1" spans="1:7">
      <c r="A72" s="3">
        <v>4.2</v>
      </c>
      <c r="B72" s="3">
        <v>2125</v>
      </c>
      <c r="C72" s="3"/>
      <c r="D72" s="22" t="s">
        <v>2009</v>
      </c>
      <c r="E72" s="10"/>
      <c r="F72" s="23"/>
      <c r="G72" s="23"/>
    </row>
    <row r="73" s="34" customFormat="1" ht="21.5" customHeight="1" spans="1:7">
      <c r="A73" s="3"/>
      <c r="B73" s="3">
        <v>2125</v>
      </c>
      <c r="C73" s="3"/>
      <c r="D73" s="22" t="s">
        <v>2047</v>
      </c>
      <c r="E73" s="10"/>
      <c r="F73" s="23"/>
      <c r="G73" s="23"/>
    </row>
    <row r="74" s="34" customFormat="1" ht="21.5" customHeight="1" spans="1:7">
      <c r="A74" s="3" t="s">
        <v>1975</v>
      </c>
      <c r="B74" s="3">
        <v>2125</v>
      </c>
      <c r="C74" s="3" t="s">
        <v>1843</v>
      </c>
      <c r="D74" s="22" t="s">
        <v>1843</v>
      </c>
      <c r="E74" s="10"/>
      <c r="F74" s="23"/>
      <c r="G74" s="23"/>
    </row>
    <row r="75" s="34" customFormat="1" ht="21.5" customHeight="1" spans="1:7">
      <c r="A75" s="3"/>
      <c r="B75" s="3">
        <v>2125</v>
      </c>
      <c r="C75" s="3" t="s">
        <v>1843</v>
      </c>
      <c r="D75" s="22" t="s">
        <v>1843</v>
      </c>
      <c r="E75" s="10" t="s">
        <v>2060</v>
      </c>
      <c r="F75" s="23" t="s">
        <v>826</v>
      </c>
      <c r="G75" s="23">
        <v>228</v>
      </c>
    </row>
    <row r="76" s="34" customFormat="1" ht="21.5" customHeight="1" spans="1:7">
      <c r="A76" s="3"/>
      <c r="B76" s="3">
        <v>2125</v>
      </c>
      <c r="C76" s="3" t="s">
        <v>1843</v>
      </c>
      <c r="D76" s="22" t="s">
        <v>1843</v>
      </c>
      <c r="E76" s="10" t="s">
        <v>2042</v>
      </c>
      <c r="F76" s="23" t="s">
        <v>826</v>
      </c>
      <c r="G76" s="23">
        <v>1050</v>
      </c>
    </row>
    <row r="77" s="34" customFormat="1" ht="21.5" customHeight="1" spans="1:7">
      <c r="A77" s="3"/>
      <c r="B77" s="3">
        <v>2125</v>
      </c>
      <c r="C77" s="3" t="s">
        <v>1843</v>
      </c>
      <c r="D77" s="22" t="s">
        <v>1843</v>
      </c>
      <c r="E77" s="10" t="s">
        <v>2016</v>
      </c>
      <c r="F77" s="23" t="s">
        <v>826</v>
      </c>
      <c r="G77" s="23">
        <v>0</v>
      </c>
    </row>
    <row r="78" s="34" customFormat="1" ht="21.5" customHeight="1" spans="1:7">
      <c r="A78" s="3"/>
      <c r="B78" s="3">
        <v>2125</v>
      </c>
      <c r="C78" s="3" t="s">
        <v>1843</v>
      </c>
      <c r="D78" s="22" t="s">
        <v>1843</v>
      </c>
      <c r="E78" s="10" t="s">
        <v>2061</v>
      </c>
      <c r="F78" s="23" t="s">
        <v>826</v>
      </c>
      <c r="G78" s="23">
        <v>184</v>
      </c>
    </row>
    <row r="79" s="34" customFormat="1" ht="21.5" customHeight="1" spans="1:7">
      <c r="A79" s="3"/>
      <c r="B79" s="3">
        <v>2125</v>
      </c>
      <c r="C79" s="3" t="s">
        <v>1843</v>
      </c>
      <c r="D79" s="22" t="s">
        <v>1843</v>
      </c>
      <c r="E79" s="10" t="s">
        <v>2020</v>
      </c>
      <c r="F79" s="23" t="s">
        <v>826</v>
      </c>
      <c r="G79" s="23">
        <v>1358</v>
      </c>
    </row>
    <row r="80" s="34" customFormat="1" ht="21.5" customHeight="1" spans="1:7">
      <c r="A80" s="3"/>
      <c r="B80" s="3">
        <v>2125</v>
      </c>
      <c r="C80" s="3" t="s">
        <v>1843</v>
      </c>
      <c r="D80" s="22" t="s">
        <v>1843</v>
      </c>
      <c r="E80" s="10" t="s">
        <v>2062</v>
      </c>
      <c r="F80" s="23" t="s">
        <v>826</v>
      </c>
      <c r="G80" s="23">
        <v>3660</v>
      </c>
    </row>
    <row r="81" s="34" customFormat="1" ht="21.5" customHeight="1" spans="1:7">
      <c r="A81" s="3"/>
      <c r="B81" s="3">
        <v>2125</v>
      </c>
      <c r="C81" s="3" t="s">
        <v>1843</v>
      </c>
      <c r="D81" s="22" t="s">
        <v>1843</v>
      </c>
      <c r="E81" s="10" t="s">
        <v>2063</v>
      </c>
      <c r="F81" s="23" t="s">
        <v>826</v>
      </c>
      <c r="G81" s="23">
        <v>504</v>
      </c>
    </row>
    <row r="82" s="34" customFormat="1" ht="21.5" customHeight="1" spans="1:7">
      <c r="A82" s="3"/>
      <c r="B82" s="3">
        <v>2125</v>
      </c>
      <c r="C82" s="3" t="s">
        <v>1843</v>
      </c>
      <c r="D82" s="22" t="s">
        <v>1843</v>
      </c>
      <c r="E82" s="10" t="s">
        <v>2021</v>
      </c>
      <c r="F82" s="23" t="s">
        <v>826</v>
      </c>
      <c r="G82" s="23">
        <v>728</v>
      </c>
    </row>
    <row r="83" s="34" customFormat="1" ht="21.5" customHeight="1" spans="1:7">
      <c r="A83" s="3" t="s">
        <v>1982</v>
      </c>
      <c r="B83" s="3">
        <v>2125</v>
      </c>
      <c r="C83" s="3" t="s">
        <v>1847</v>
      </c>
      <c r="D83" s="22" t="s">
        <v>1847</v>
      </c>
      <c r="E83" s="10"/>
      <c r="F83" s="23"/>
      <c r="G83" s="23"/>
    </row>
    <row r="84" s="34" customFormat="1" ht="21.5" customHeight="1" spans="1:7">
      <c r="A84" s="3"/>
      <c r="B84" s="3">
        <v>2125</v>
      </c>
      <c r="C84" s="3" t="s">
        <v>1847</v>
      </c>
      <c r="D84" s="22" t="s">
        <v>1847</v>
      </c>
      <c r="E84" s="10" t="s">
        <v>2044</v>
      </c>
      <c r="F84" s="23" t="s">
        <v>826</v>
      </c>
      <c r="G84" s="23">
        <v>4350</v>
      </c>
    </row>
    <row r="85" s="34" customFormat="1" ht="21.5" customHeight="1" spans="1:7">
      <c r="A85" s="3"/>
      <c r="B85" s="3">
        <v>2125</v>
      </c>
      <c r="C85" s="3" t="s">
        <v>1847</v>
      </c>
      <c r="D85" s="22" t="s">
        <v>1847</v>
      </c>
      <c r="E85" s="10" t="s">
        <v>2064</v>
      </c>
      <c r="F85" s="23" t="s">
        <v>826</v>
      </c>
      <c r="G85" s="23">
        <v>3850</v>
      </c>
    </row>
    <row r="86" s="34" customFormat="1" ht="21.5" customHeight="1" spans="1:7">
      <c r="A86" s="3" t="s">
        <v>1985</v>
      </c>
      <c r="B86" s="3">
        <v>2125</v>
      </c>
      <c r="C86" s="3" t="s">
        <v>1970</v>
      </c>
      <c r="D86" s="22" t="s">
        <v>1970</v>
      </c>
      <c r="E86" s="10" t="s">
        <v>2022</v>
      </c>
      <c r="F86" s="23" t="s">
        <v>1210</v>
      </c>
      <c r="G86" s="23">
        <v>11.2</v>
      </c>
    </row>
    <row r="87" s="34" customFormat="1" ht="21.5" customHeight="1" spans="1:7">
      <c r="A87" s="3" t="s">
        <v>1990</v>
      </c>
      <c r="B87" s="3">
        <v>2125</v>
      </c>
      <c r="C87" s="3" t="s">
        <v>831</v>
      </c>
      <c r="D87" s="22" t="s">
        <v>2045</v>
      </c>
      <c r="E87" s="10" t="s">
        <v>2046</v>
      </c>
      <c r="F87" s="23" t="s">
        <v>1210</v>
      </c>
      <c r="G87" s="23">
        <v>1.68</v>
      </c>
    </row>
    <row r="88" s="34" customFormat="1" ht="21.5" customHeight="1" spans="1:7">
      <c r="A88" s="3" t="s">
        <v>2023</v>
      </c>
      <c r="B88" s="3">
        <v>2125</v>
      </c>
      <c r="C88" s="3" t="s">
        <v>2024</v>
      </c>
      <c r="D88" s="22" t="s">
        <v>2024</v>
      </c>
      <c r="E88" s="10" t="s">
        <v>2025</v>
      </c>
      <c r="F88" s="23" t="s">
        <v>1210</v>
      </c>
      <c r="G88" s="23">
        <v>3.5</v>
      </c>
    </row>
    <row r="89" s="34" customFormat="1" ht="21.5" customHeight="1" spans="1:7">
      <c r="A89" s="3" t="s">
        <v>2026</v>
      </c>
      <c r="B89" s="3">
        <v>2125</v>
      </c>
      <c r="C89" s="3"/>
      <c r="D89" s="22" t="s">
        <v>2065</v>
      </c>
      <c r="E89" s="10"/>
      <c r="F89" s="23" t="s">
        <v>1316</v>
      </c>
      <c r="G89" s="23">
        <v>1350</v>
      </c>
    </row>
    <row r="90" s="21" customFormat="1" ht="21.5" customHeight="1" spans="1:7">
      <c r="A90" s="36"/>
      <c r="B90" s="36"/>
      <c r="C90" s="36"/>
      <c r="D90" s="25" t="s">
        <v>34</v>
      </c>
      <c r="E90" s="37"/>
      <c r="F90" s="38"/>
      <c r="G90" s="38"/>
    </row>
    <row r="91" s="21" customFormat="1" ht="21.5" customHeight="1" spans="1:7">
      <c r="A91" s="3">
        <v>3</v>
      </c>
      <c r="B91" s="3"/>
      <c r="C91" s="3"/>
      <c r="D91" s="22" t="s">
        <v>2066</v>
      </c>
      <c r="E91" s="10"/>
      <c r="F91" s="23"/>
      <c r="G91" s="23"/>
    </row>
    <row r="92" s="21" customFormat="1" ht="21.5" customHeight="1" spans="1:7">
      <c r="A92" s="3">
        <v>3.1</v>
      </c>
      <c r="B92" s="3"/>
      <c r="C92" s="3"/>
      <c r="D92" s="22" t="s">
        <v>1974</v>
      </c>
      <c r="E92" s="10"/>
      <c r="F92" s="23"/>
      <c r="G92" s="23"/>
    </row>
    <row r="93" s="21" customFormat="1" ht="21.5" customHeight="1" spans="1:7">
      <c r="A93" s="3" t="s">
        <v>1975</v>
      </c>
      <c r="B93" s="3"/>
      <c r="C93" s="3"/>
      <c r="D93" s="22" t="s">
        <v>2067</v>
      </c>
      <c r="E93" s="10"/>
      <c r="F93" s="23"/>
      <c r="G93" s="23"/>
    </row>
    <row r="94" s="21" customFormat="1" ht="21.5" customHeight="1" spans="1:7">
      <c r="A94" s="3"/>
      <c r="B94" s="3">
        <v>2104</v>
      </c>
      <c r="C94" s="3"/>
      <c r="D94" s="22" t="s">
        <v>1898</v>
      </c>
      <c r="E94" s="10" t="s">
        <v>2068</v>
      </c>
      <c r="F94" s="23" t="s">
        <v>26</v>
      </c>
      <c r="G94" s="23">
        <v>1</v>
      </c>
    </row>
    <row r="95" s="21" customFormat="1" ht="21.5" customHeight="1" spans="1:7">
      <c r="A95" s="3"/>
      <c r="B95" s="3">
        <v>2104</v>
      </c>
      <c r="C95" s="3"/>
      <c r="D95" s="22" t="s">
        <v>2005</v>
      </c>
      <c r="E95" s="10" t="s">
        <v>2068</v>
      </c>
      <c r="F95" s="23" t="s">
        <v>26</v>
      </c>
      <c r="G95" s="23">
        <v>2</v>
      </c>
    </row>
    <row r="96" s="21" customFormat="1" ht="21.5" customHeight="1" spans="1:7">
      <c r="A96" s="3"/>
      <c r="B96" s="3">
        <v>2104</v>
      </c>
      <c r="C96" s="3"/>
      <c r="D96" s="22" t="s">
        <v>1900</v>
      </c>
      <c r="E96" s="10" t="s">
        <v>2069</v>
      </c>
      <c r="F96" s="23" t="s">
        <v>26</v>
      </c>
      <c r="G96" s="23">
        <v>1</v>
      </c>
    </row>
    <row r="97" s="21" customFormat="1" ht="21.5" customHeight="1" spans="1:7">
      <c r="A97" s="3"/>
      <c r="B97" s="3">
        <v>2104</v>
      </c>
      <c r="C97" s="3"/>
      <c r="D97" s="22" t="s">
        <v>1902</v>
      </c>
      <c r="E97" s="10" t="s">
        <v>2070</v>
      </c>
      <c r="F97" s="23" t="s">
        <v>26</v>
      </c>
      <c r="G97" s="23">
        <v>2</v>
      </c>
    </row>
    <row r="98" s="21" customFormat="1" ht="21.5" customHeight="1" spans="1:7">
      <c r="A98" s="3"/>
      <c r="B98" s="3">
        <v>2104</v>
      </c>
      <c r="C98" s="3"/>
      <c r="D98" s="22" t="s">
        <v>550</v>
      </c>
      <c r="E98" s="10" t="s">
        <v>2071</v>
      </c>
      <c r="F98" s="23" t="s">
        <v>26</v>
      </c>
      <c r="G98" s="23">
        <v>3</v>
      </c>
    </row>
    <row r="99" s="21" customFormat="1" ht="21.5" customHeight="1" spans="1:7">
      <c r="A99" s="3" t="s">
        <v>1982</v>
      </c>
      <c r="B99" s="3">
        <v>2104</v>
      </c>
      <c r="C99" s="3"/>
      <c r="D99" s="22" t="s">
        <v>2072</v>
      </c>
      <c r="E99" s="10" t="s">
        <v>2073</v>
      </c>
      <c r="F99" s="23" t="s">
        <v>1895</v>
      </c>
      <c r="G99" s="23">
        <v>3</v>
      </c>
    </row>
    <row r="100" s="21" customFormat="1" ht="21.5" customHeight="1" spans="1:7">
      <c r="A100" s="3"/>
      <c r="B100" s="3">
        <v>2104</v>
      </c>
      <c r="C100" s="3"/>
      <c r="D100" s="22" t="s">
        <v>2074</v>
      </c>
      <c r="E100" s="10" t="s">
        <v>2073</v>
      </c>
      <c r="F100" s="23" t="s">
        <v>1895</v>
      </c>
      <c r="G100" s="23">
        <v>1</v>
      </c>
    </row>
    <row r="101" s="21" customFormat="1" ht="21.5" customHeight="1" spans="1:7">
      <c r="A101" s="3"/>
      <c r="B101" s="3">
        <v>2104</v>
      </c>
      <c r="C101" s="3"/>
      <c r="D101" s="22" t="s">
        <v>2054</v>
      </c>
      <c r="E101" s="10" t="s">
        <v>2075</v>
      </c>
      <c r="F101" s="23" t="s">
        <v>12</v>
      </c>
      <c r="G101" s="23">
        <v>2</v>
      </c>
    </row>
    <row r="102" s="21" customFormat="1" ht="21.5" customHeight="1" spans="1:7">
      <c r="A102" s="3" t="s">
        <v>1985</v>
      </c>
      <c r="B102" s="3">
        <v>2104</v>
      </c>
      <c r="C102" s="3"/>
      <c r="D102" s="22" t="s">
        <v>2076</v>
      </c>
      <c r="E102" s="10" t="s">
        <v>2077</v>
      </c>
      <c r="F102" s="23" t="s">
        <v>1895</v>
      </c>
      <c r="G102" s="23">
        <v>3</v>
      </c>
    </row>
    <row r="103" s="21" customFormat="1" ht="21.5" customHeight="1" spans="1:7">
      <c r="A103" s="3"/>
      <c r="B103" s="3">
        <v>2104</v>
      </c>
      <c r="C103" s="3"/>
      <c r="D103" s="22" t="s">
        <v>2078</v>
      </c>
      <c r="E103" s="10" t="s">
        <v>2079</v>
      </c>
      <c r="F103" s="23" t="s">
        <v>12</v>
      </c>
      <c r="G103" s="23">
        <v>1</v>
      </c>
    </row>
    <row r="104" s="21" customFormat="1" ht="21.5" customHeight="1" spans="1:7">
      <c r="A104" s="3"/>
      <c r="B104" s="3">
        <v>2104</v>
      </c>
      <c r="C104" s="3"/>
      <c r="D104" s="22" t="s">
        <v>2080</v>
      </c>
      <c r="E104" s="10" t="s">
        <v>2081</v>
      </c>
      <c r="F104" s="23" t="s">
        <v>12</v>
      </c>
      <c r="G104" s="23">
        <v>1</v>
      </c>
    </row>
    <row r="105" s="21" customFormat="1" ht="21.5" customHeight="1" spans="1:7">
      <c r="A105" s="3"/>
      <c r="B105" s="3">
        <v>2104</v>
      </c>
      <c r="C105" s="3"/>
      <c r="D105" s="22" t="s">
        <v>2082</v>
      </c>
      <c r="E105" s="10" t="s">
        <v>2083</v>
      </c>
      <c r="F105" s="23" t="s">
        <v>12</v>
      </c>
      <c r="G105" s="23">
        <v>1</v>
      </c>
    </row>
    <row r="106" s="21" customFormat="1" ht="21.5" customHeight="1" spans="1:7">
      <c r="A106" s="3"/>
      <c r="B106" s="3">
        <v>2104</v>
      </c>
      <c r="C106" s="3"/>
      <c r="D106" s="22" t="s">
        <v>2084</v>
      </c>
      <c r="E106" s="10" t="s">
        <v>2085</v>
      </c>
      <c r="F106" s="23" t="s">
        <v>12</v>
      </c>
      <c r="G106" s="23">
        <v>1</v>
      </c>
    </row>
    <row r="107" s="21" customFormat="1" ht="21.5" customHeight="1" spans="1:7">
      <c r="A107" s="3"/>
      <c r="B107" s="3">
        <v>2104</v>
      </c>
      <c r="C107" s="3"/>
      <c r="D107" s="22" t="s">
        <v>2086</v>
      </c>
      <c r="E107" s="10" t="s">
        <v>2087</v>
      </c>
      <c r="F107" s="23" t="s">
        <v>12</v>
      </c>
      <c r="G107" s="23">
        <v>1</v>
      </c>
    </row>
    <row r="108" s="21" customFormat="1" ht="21.5" customHeight="1" spans="1:7">
      <c r="A108" s="3"/>
      <c r="B108" s="3">
        <v>2104</v>
      </c>
      <c r="C108" s="3"/>
      <c r="D108" s="22" t="s">
        <v>2088</v>
      </c>
      <c r="E108" s="10" t="s">
        <v>2089</v>
      </c>
      <c r="F108" s="23" t="s">
        <v>12</v>
      </c>
      <c r="G108" s="23">
        <v>2</v>
      </c>
    </row>
    <row r="109" s="21" customFormat="1" ht="21.5" customHeight="1" spans="1:7">
      <c r="A109" s="3"/>
      <c r="B109" s="3">
        <v>2104</v>
      </c>
      <c r="C109" s="3"/>
      <c r="D109" s="22" t="s">
        <v>2090</v>
      </c>
      <c r="E109" s="10" t="s">
        <v>2091</v>
      </c>
      <c r="F109" s="23" t="s">
        <v>12</v>
      </c>
      <c r="G109" s="23">
        <v>1</v>
      </c>
    </row>
    <row r="110" s="21" customFormat="1" ht="21.5" customHeight="1" spans="1:7">
      <c r="A110" s="3" t="s">
        <v>1990</v>
      </c>
      <c r="B110" s="3">
        <v>2104</v>
      </c>
      <c r="C110" s="3"/>
      <c r="D110" s="22" t="s">
        <v>2076</v>
      </c>
      <c r="E110" s="10" t="s">
        <v>2092</v>
      </c>
      <c r="F110" s="23" t="s">
        <v>1895</v>
      </c>
      <c r="G110" s="23">
        <v>2</v>
      </c>
    </row>
    <row r="111" s="21" customFormat="1" ht="21.5" customHeight="1" spans="1:7">
      <c r="A111" s="3"/>
      <c r="B111" s="3">
        <v>2104</v>
      </c>
      <c r="C111" s="3"/>
      <c r="D111" s="22" t="s">
        <v>2093</v>
      </c>
      <c r="E111" s="10" t="s">
        <v>2094</v>
      </c>
      <c r="F111" s="23" t="s">
        <v>12</v>
      </c>
      <c r="G111" s="23">
        <v>1</v>
      </c>
    </row>
    <row r="112" s="21" customFormat="1" ht="21.5" customHeight="1" spans="1:7">
      <c r="A112" s="3"/>
      <c r="B112" s="3">
        <v>2104</v>
      </c>
      <c r="C112" s="3"/>
      <c r="D112" s="22" t="s">
        <v>2095</v>
      </c>
      <c r="E112" s="37" t="s">
        <v>2096</v>
      </c>
      <c r="F112" s="23" t="s">
        <v>12</v>
      </c>
      <c r="G112" s="23">
        <v>1</v>
      </c>
    </row>
    <row r="113" s="21" customFormat="1" ht="21.5" customHeight="1" spans="1:7">
      <c r="A113" s="3" t="s">
        <v>2097</v>
      </c>
      <c r="B113" s="3">
        <v>2104</v>
      </c>
      <c r="C113" s="3"/>
      <c r="D113" s="22" t="s">
        <v>2098</v>
      </c>
      <c r="E113" s="10" t="s">
        <v>2099</v>
      </c>
      <c r="F113" s="23" t="s">
        <v>23</v>
      </c>
      <c r="G113" s="23">
        <v>1</v>
      </c>
    </row>
    <row r="114" s="21" customFormat="1" ht="21.5" customHeight="1" spans="1:7">
      <c r="A114" s="3">
        <v>3.2</v>
      </c>
      <c r="B114" s="3">
        <v>2104</v>
      </c>
      <c r="C114" s="3"/>
      <c r="D114" s="22" t="s">
        <v>2009</v>
      </c>
      <c r="E114" s="10"/>
      <c r="F114" s="23"/>
      <c r="G114" s="23"/>
    </row>
    <row r="115" s="21" customFormat="1" ht="21.5" customHeight="1" spans="1:7">
      <c r="A115" s="3" t="s">
        <v>1975</v>
      </c>
      <c r="B115" s="3">
        <v>2104</v>
      </c>
      <c r="C115" s="3" t="s">
        <v>1843</v>
      </c>
      <c r="D115" s="22" t="s">
        <v>1843</v>
      </c>
      <c r="E115" s="10"/>
      <c r="F115" s="23"/>
      <c r="G115" s="23"/>
    </row>
    <row r="116" s="21" customFormat="1" ht="21.5" customHeight="1" spans="1:7">
      <c r="A116" s="3"/>
      <c r="B116" s="3">
        <v>2104</v>
      </c>
      <c r="C116" s="3" t="s">
        <v>1843</v>
      </c>
      <c r="D116" s="22" t="s">
        <v>1843</v>
      </c>
      <c r="E116" s="10" t="s">
        <v>2100</v>
      </c>
      <c r="F116" s="23" t="s">
        <v>1462</v>
      </c>
      <c r="G116" s="23">
        <v>290</v>
      </c>
    </row>
    <row r="117" s="21" customFormat="1" ht="21.5" customHeight="1" spans="1:7">
      <c r="A117" s="3"/>
      <c r="B117" s="3">
        <v>2104</v>
      </c>
      <c r="C117" s="3" t="s">
        <v>1843</v>
      </c>
      <c r="D117" s="22" t="s">
        <v>1843</v>
      </c>
      <c r="E117" s="10" t="s">
        <v>2021</v>
      </c>
      <c r="F117" s="23" t="s">
        <v>1462</v>
      </c>
      <c r="G117" s="23">
        <v>120</v>
      </c>
    </row>
    <row r="118" s="21" customFormat="1" ht="21.5" customHeight="1" spans="1:7">
      <c r="A118" s="3"/>
      <c r="B118" s="3">
        <v>2104</v>
      </c>
      <c r="C118" s="3" t="s">
        <v>1843</v>
      </c>
      <c r="D118" s="22" t="s">
        <v>1843</v>
      </c>
      <c r="E118" s="10" t="s">
        <v>2062</v>
      </c>
      <c r="F118" s="23" t="s">
        <v>1462</v>
      </c>
      <c r="G118" s="23">
        <v>3450</v>
      </c>
    </row>
    <row r="119" s="21" customFormat="1" ht="21.5" customHeight="1" spans="1:7">
      <c r="A119" s="3"/>
      <c r="B119" s="3">
        <v>2104</v>
      </c>
      <c r="C119" s="3" t="s">
        <v>1843</v>
      </c>
      <c r="D119" s="22" t="s">
        <v>1843</v>
      </c>
      <c r="E119" s="10" t="s">
        <v>2101</v>
      </c>
      <c r="F119" s="23" t="s">
        <v>1462</v>
      </c>
      <c r="G119" s="23">
        <v>620</v>
      </c>
    </row>
    <row r="120" s="21" customFormat="1" ht="21.5" customHeight="1" spans="1:7">
      <c r="A120" s="3"/>
      <c r="B120" s="3">
        <v>2104</v>
      </c>
      <c r="C120" s="3" t="s">
        <v>2102</v>
      </c>
      <c r="D120" s="22" t="s">
        <v>2103</v>
      </c>
      <c r="E120" s="10" t="s">
        <v>2104</v>
      </c>
      <c r="F120" s="23" t="s">
        <v>1462</v>
      </c>
      <c r="G120" s="23">
        <v>492</v>
      </c>
    </row>
    <row r="121" s="21" customFormat="1" ht="21.5" customHeight="1" spans="1:7">
      <c r="A121" s="3"/>
      <c r="B121" s="3">
        <v>2104</v>
      </c>
      <c r="C121" s="3" t="s">
        <v>2102</v>
      </c>
      <c r="D121" s="22" t="s">
        <v>2103</v>
      </c>
      <c r="E121" s="10" t="s">
        <v>2105</v>
      </c>
      <c r="F121" s="23" t="s">
        <v>1462</v>
      </c>
      <c r="G121" s="23">
        <v>123</v>
      </c>
    </row>
    <row r="122" s="21" customFormat="1" ht="21.5" customHeight="1" spans="1:7">
      <c r="A122" s="3"/>
      <c r="B122" s="3">
        <v>2104</v>
      </c>
      <c r="C122" s="3" t="s">
        <v>2102</v>
      </c>
      <c r="D122" s="22" t="s">
        <v>2103</v>
      </c>
      <c r="E122" s="10" t="s">
        <v>2104</v>
      </c>
      <c r="F122" s="23" t="s">
        <v>1462</v>
      </c>
      <c r="G122" s="23">
        <v>110</v>
      </c>
    </row>
    <row r="123" s="21" customFormat="1" ht="21.5" customHeight="1" spans="1:7">
      <c r="A123" s="3"/>
      <c r="B123" s="3">
        <v>2104</v>
      </c>
      <c r="C123" s="3" t="s">
        <v>2102</v>
      </c>
      <c r="D123" s="22" t="s">
        <v>2103</v>
      </c>
      <c r="E123" s="10" t="s">
        <v>2106</v>
      </c>
      <c r="F123" s="23" t="s">
        <v>1462</v>
      </c>
      <c r="G123" s="23">
        <v>110</v>
      </c>
    </row>
    <row r="124" s="21" customFormat="1" ht="21.5" customHeight="1" spans="1:7">
      <c r="A124" s="3"/>
      <c r="B124" s="3">
        <v>2104</v>
      </c>
      <c r="C124" s="3" t="s">
        <v>1843</v>
      </c>
      <c r="D124" s="22" t="s">
        <v>2103</v>
      </c>
      <c r="E124" s="10" t="s">
        <v>2107</v>
      </c>
      <c r="F124" s="23" t="s">
        <v>1462</v>
      </c>
      <c r="G124" s="23">
        <v>635</v>
      </c>
    </row>
    <row r="125" s="21" customFormat="1" ht="21.5" customHeight="1" spans="1:7">
      <c r="A125" s="3"/>
      <c r="B125" s="3">
        <v>2104</v>
      </c>
      <c r="C125" s="3" t="s">
        <v>2102</v>
      </c>
      <c r="D125" s="22" t="s">
        <v>2103</v>
      </c>
      <c r="E125" s="10" t="s">
        <v>2104</v>
      </c>
      <c r="F125" s="23" t="s">
        <v>1462</v>
      </c>
      <c r="G125" s="23">
        <v>104</v>
      </c>
    </row>
    <row r="126" s="21" customFormat="1" ht="21.5" customHeight="1" spans="1:7">
      <c r="A126" s="3" t="s">
        <v>1982</v>
      </c>
      <c r="B126" s="3">
        <v>2104</v>
      </c>
      <c r="C126" s="3" t="s">
        <v>1847</v>
      </c>
      <c r="D126" s="22" t="s">
        <v>1847</v>
      </c>
      <c r="E126" s="10"/>
      <c r="F126" s="23"/>
      <c r="G126" s="23"/>
    </row>
    <row r="127" s="21" customFormat="1" ht="21.5" customHeight="1" spans="1:7">
      <c r="A127" s="3"/>
      <c r="B127" s="3">
        <v>2104</v>
      </c>
      <c r="C127" s="3" t="s">
        <v>1847</v>
      </c>
      <c r="D127" s="22" t="s">
        <v>1847</v>
      </c>
      <c r="E127" s="10" t="s">
        <v>2108</v>
      </c>
      <c r="F127" s="23" t="s">
        <v>1462</v>
      </c>
      <c r="G127" s="23">
        <v>2550</v>
      </c>
    </row>
    <row r="128" s="21" customFormat="1" ht="21.5" customHeight="1" spans="1:7">
      <c r="A128" s="3"/>
      <c r="B128" s="3">
        <v>2104</v>
      </c>
      <c r="C128" s="3" t="s">
        <v>1847</v>
      </c>
      <c r="D128" s="22" t="s">
        <v>1847</v>
      </c>
      <c r="E128" s="10" t="s">
        <v>2109</v>
      </c>
      <c r="F128" s="23" t="s">
        <v>1462</v>
      </c>
      <c r="G128" s="23">
        <v>1050</v>
      </c>
    </row>
    <row r="129" s="21" customFormat="1" ht="21.5" customHeight="1" spans="1:7">
      <c r="A129" s="3"/>
      <c r="B129" s="3">
        <v>2104</v>
      </c>
      <c r="C129" s="3" t="s">
        <v>1847</v>
      </c>
      <c r="D129" s="22" t="s">
        <v>1847</v>
      </c>
      <c r="E129" s="10" t="s">
        <v>2044</v>
      </c>
      <c r="F129" s="23" t="s">
        <v>1462</v>
      </c>
      <c r="G129" s="23">
        <v>4450</v>
      </c>
    </row>
    <row r="130" s="21" customFormat="1" ht="21.5" customHeight="1" spans="1:7">
      <c r="A130" s="3" t="s">
        <v>1985</v>
      </c>
      <c r="B130" s="3">
        <v>2104</v>
      </c>
      <c r="C130" s="3"/>
      <c r="D130" s="22" t="s">
        <v>2029</v>
      </c>
      <c r="E130" s="10"/>
      <c r="F130" s="23" t="s">
        <v>1316</v>
      </c>
      <c r="G130" s="23">
        <v>950</v>
      </c>
    </row>
    <row r="131" s="21" customFormat="1" ht="21.5" customHeight="1" spans="1:7">
      <c r="A131" s="3" t="s">
        <v>1990</v>
      </c>
      <c r="B131" s="3">
        <v>2104</v>
      </c>
      <c r="C131" s="3" t="s">
        <v>1970</v>
      </c>
      <c r="D131" s="22" t="s">
        <v>1970</v>
      </c>
      <c r="E131" s="10" t="s">
        <v>2022</v>
      </c>
      <c r="F131" s="23" t="s">
        <v>1210</v>
      </c>
      <c r="G131" s="23">
        <v>6.75</v>
      </c>
    </row>
    <row r="132" s="21" customFormat="1" ht="21.5" customHeight="1" spans="1:7">
      <c r="A132" s="3" t="s">
        <v>2023</v>
      </c>
      <c r="B132" s="3">
        <v>2104</v>
      </c>
      <c r="C132" s="3" t="s">
        <v>831</v>
      </c>
      <c r="D132" s="22" t="s">
        <v>2045</v>
      </c>
      <c r="E132" s="10" t="s">
        <v>2046</v>
      </c>
      <c r="F132" s="23" t="s">
        <v>1210</v>
      </c>
      <c r="G132" s="23">
        <v>2.75</v>
      </c>
    </row>
    <row r="133" s="21" customFormat="1" ht="21.5" customHeight="1" spans="1:7">
      <c r="A133" s="3" t="s">
        <v>2026</v>
      </c>
      <c r="B133" s="3">
        <v>2104</v>
      </c>
      <c r="C133" s="3" t="s">
        <v>2024</v>
      </c>
      <c r="D133" s="22" t="s">
        <v>2024</v>
      </c>
      <c r="E133" s="10" t="s">
        <v>2025</v>
      </c>
      <c r="F133" s="23" t="s">
        <v>1210</v>
      </c>
      <c r="G133" s="23">
        <v>2.8</v>
      </c>
    </row>
    <row r="134" s="21" customFormat="1" ht="21.5" customHeight="1" spans="1:7">
      <c r="A134" s="3" t="s">
        <v>2004</v>
      </c>
      <c r="B134" s="3">
        <v>2104</v>
      </c>
      <c r="C134" s="3" t="s">
        <v>2010</v>
      </c>
      <c r="D134" s="22" t="s">
        <v>2110</v>
      </c>
      <c r="E134" s="10" t="s">
        <v>2111</v>
      </c>
      <c r="F134" s="23" t="s">
        <v>826</v>
      </c>
      <c r="G134" s="23">
        <v>50</v>
      </c>
    </row>
    <row r="135" s="21" customFormat="1" ht="21.5" customHeight="1" spans="1:7">
      <c r="A135" s="3"/>
      <c r="B135" s="3"/>
      <c r="C135" s="3"/>
      <c r="D135" s="22"/>
      <c r="E135" s="10"/>
      <c r="F135" s="23"/>
      <c r="G135" s="23"/>
    </row>
    <row r="136" s="21" customFormat="1" ht="21.5" customHeight="1" spans="1:7">
      <c r="A136" s="36"/>
      <c r="B136" s="36"/>
      <c r="C136" s="36"/>
      <c r="D136" s="25" t="s">
        <v>34</v>
      </c>
      <c r="E136" s="37"/>
      <c r="F136" s="38"/>
      <c r="G136" s="38"/>
    </row>
    <row r="137" s="21" customFormat="1" ht="21.5" customHeight="1" spans="1:7">
      <c r="A137" s="3">
        <v>5</v>
      </c>
      <c r="B137" s="3"/>
      <c r="C137" s="3"/>
      <c r="D137" s="22" t="s">
        <v>2112</v>
      </c>
      <c r="E137" s="10"/>
      <c r="F137" s="23"/>
      <c r="G137" s="23"/>
    </row>
    <row r="138" s="21" customFormat="1" ht="21.5" customHeight="1" spans="1:7">
      <c r="A138" s="3">
        <v>5.1</v>
      </c>
      <c r="B138" s="3"/>
      <c r="C138" s="3"/>
      <c r="D138" s="22" t="s">
        <v>1974</v>
      </c>
      <c r="E138" s="10"/>
      <c r="F138" s="23"/>
      <c r="G138" s="23"/>
    </row>
    <row r="139" s="21" customFormat="1" ht="21.5" customHeight="1" spans="1:7">
      <c r="A139" s="3" t="s">
        <v>2113</v>
      </c>
      <c r="B139" s="3">
        <v>2105</v>
      </c>
      <c r="C139" s="3"/>
      <c r="D139" s="22" t="s">
        <v>2067</v>
      </c>
      <c r="E139" s="10"/>
      <c r="F139" s="23"/>
      <c r="G139" s="23"/>
    </row>
    <row r="140" s="21" customFormat="1" ht="21.5" customHeight="1" spans="1:7">
      <c r="A140" s="3"/>
      <c r="B140" s="3">
        <v>2105</v>
      </c>
      <c r="C140" s="3"/>
      <c r="D140" s="22" t="s">
        <v>550</v>
      </c>
      <c r="E140" s="10" t="s">
        <v>2071</v>
      </c>
      <c r="F140" s="23" t="s">
        <v>26</v>
      </c>
      <c r="G140" s="23">
        <v>8</v>
      </c>
    </row>
    <row r="141" s="21" customFormat="1" ht="21.5" customHeight="1" spans="1:7">
      <c r="A141" s="3"/>
      <c r="B141" s="3">
        <v>2105</v>
      </c>
      <c r="C141" s="3"/>
      <c r="D141" s="22" t="s">
        <v>2005</v>
      </c>
      <c r="E141" s="10" t="s">
        <v>2068</v>
      </c>
      <c r="F141" s="23" t="s">
        <v>26</v>
      </c>
      <c r="G141" s="23">
        <v>4</v>
      </c>
    </row>
    <row r="142" s="21" customFormat="1" ht="21.5" customHeight="1" spans="1:7">
      <c r="A142" s="3"/>
      <c r="B142" s="3">
        <v>2105</v>
      </c>
      <c r="C142" s="3"/>
      <c r="D142" s="22" t="s">
        <v>1898</v>
      </c>
      <c r="E142" s="10" t="s">
        <v>2008</v>
      </c>
      <c r="F142" s="23" t="s">
        <v>26</v>
      </c>
      <c r="G142" s="23">
        <v>2</v>
      </c>
    </row>
    <row r="143" s="21" customFormat="1" ht="21.5" customHeight="1" spans="1:7">
      <c r="A143" s="3" t="s">
        <v>113</v>
      </c>
      <c r="B143" s="3">
        <v>2105</v>
      </c>
      <c r="C143" s="3"/>
      <c r="D143" s="22" t="s">
        <v>2114</v>
      </c>
      <c r="E143" s="10"/>
      <c r="F143" s="23"/>
      <c r="G143" s="23"/>
    </row>
    <row r="144" s="21" customFormat="1" ht="21.5" customHeight="1" spans="1:7">
      <c r="A144" s="3"/>
      <c r="B144" s="3">
        <v>2105</v>
      </c>
      <c r="C144" s="3"/>
      <c r="D144" s="22" t="s">
        <v>2115</v>
      </c>
      <c r="E144" s="10" t="s">
        <v>1989</v>
      </c>
      <c r="F144" s="23" t="s">
        <v>1895</v>
      </c>
      <c r="G144" s="23">
        <v>1</v>
      </c>
    </row>
    <row r="145" s="21" customFormat="1" ht="21.5" customHeight="1" spans="1:7">
      <c r="A145" s="3"/>
      <c r="B145" s="3">
        <v>2105</v>
      </c>
      <c r="C145" s="3"/>
      <c r="D145" s="22" t="s">
        <v>2116</v>
      </c>
      <c r="E145" s="10" t="s">
        <v>2117</v>
      </c>
      <c r="F145" s="23" t="s">
        <v>1895</v>
      </c>
      <c r="G145" s="23">
        <v>6</v>
      </c>
    </row>
    <row r="146" s="21" customFormat="1" ht="21.5" customHeight="1" spans="1:7">
      <c r="A146" s="3"/>
      <c r="B146" s="3">
        <v>2105</v>
      </c>
      <c r="C146" s="3"/>
      <c r="D146" s="22" t="s">
        <v>2118</v>
      </c>
      <c r="E146" s="10" t="s">
        <v>2119</v>
      </c>
      <c r="F146" s="23" t="s">
        <v>12</v>
      </c>
      <c r="G146" s="23">
        <v>4</v>
      </c>
    </row>
    <row r="147" s="21" customFormat="1" ht="21.5" customHeight="1" spans="1:7">
      <c r="A147" s="3"/>
      <c r="B147" s="3">
        <v>2105</v>
      </c>
      <c r="C147" s="3"/>
      <c r="D147" s="22" t="s">
        <v>2120</v>
      </c>
      <c r="E147" s="10" t="s">
        <v>2121</v>
      </c>
      <c r="F147" s="23" t="s">
        <v>12</v>
      </c>
      <c r="G147" s="23">
        <v>2</v>
      </c>
    </row>
    <row r="148" s="21" customFormat="1" ht="21.5" customHeight="1" spans="1:7">
      <c r="A148" s="3"/>
      <c r="B148" s="3">
        <v>2105</v>
      </c>
      <c r="C148" s="3"/>
      <c r="D148" s="22" t="s">
        <v>2122</v>
      </c>
      <c r="E148" s="10" t="s">
        <v>2123</v>
      </c>
      <c r="F148" s="23" t="s">
        <v>12</v>
      </c>
      <c r="G148" s="23">
        <v>1</v>
      </c>
    </row>
    <row r="149" s="21" customFormat="1" ht="21.5" customHeight="1" spans="1:7">
      <c r="A149" s="3"/>
      <c r="B149" s="3">
        <v>2105</v>
      </c>
      <c r="C149" s="3"/>
      <c r="D149" s="22" t="s">
        <v>2124</v>
      </c>
      <c r="E149" s="10" t="s">
        <v>2125</v>
      </c>
      <c r="F149" s="23" t="s">
        <v>23</v>
      </c>
      <c r="G149" s="23">
        <v>1</v>
      </c>
    </row>
    <row r="150" s="21" customFormat="1" ht="21.5" customHeight="1" spans="1:7">
      <c r="A150" s="3" t="s">
        <v>1982</v>
      </c>
      <c r="B150" s="3">
        <v>2105</v>
      </c>
      <c r="C150" s="3"/>
      <c r="D150" s="22" t="s">
        <v>278</v>
      </c>
      <c r="E150" s="10" t="s">
        <v>2126</v>
      </c>
      <c r="F150" s="23"/>
      <c r="G150" s="23"/>
    </row>
    <row r="151" s="21" customFormat="1" ht="21.5" customHeight="1" spans="1:7">
      <c r="A151" s="3"/>
      <c r="B151" s="3">
        <v>2105</v>
      </c>
      <c r="C151" s="3"/>
      <c r="D151" s="22" t="s">
        <v>2127</v>
      </c>
      <c r="E151" s="10" t="s">
        <v>2128</v>
      </c>
      <c r="F151" s="23" t="s">
        <v>23</v>
      </c>
      <c r="G151" s="23">
        <v>1</v>
      </c>
    </row>
    <row r="152" s="21" customFormat="1" ht="21.5" customHeight="1" spans="1:7">
      <c r="A152" s="3" t="s">
        <v>1985</v>
      </c>
      <c r="B152" s="3">
        <v>2105</v>
      </c>
      <c r="C152" s="3"/>
      <c r="D152" s="22" t="s">
        <v>221</v>
      </c>
      <c r="E152" s="10"/>
      <c r="F152" s="23"/>
      <c r="G152" s="23"/>
    </row>
    <row r="153" s="21" customFormat="1" ht="21.5" customHeight="1" spans="1:7">
      <c r="A153" s="3"/>
      <c r="B153" s="3">
        <v>2105</v>
      </c>
      <c r="C153" s="3"/>
      <c r="D153" s="22" t="s">
        <v>2115</v>
      </c>
      <c r="E153" s="10" t="s">
        <v>2129</v>
      </c>
      <c r="F153" s="23" t="s">
        <v>1895</v>
      </c>
      <c r="G153" s="23">
        <v>1</v>
      </c>
    </row>
    <row r="154" s="21" customFormat="1" ht="21.5" customHeight="1" spans="1:7">
      <c r="A154" s="3"/>
      <c r="B154" s="3">
        <v>2105</v>
      </c>
      <c r="C154" s="3"/>
      <c r="D154" s="22" t="s">
        <v>2130</v>
      </c>
      <c r="E154" s="10" t="s">
        <v>2131</v>
      </c>
      <c r="F154" s="23" t="s">
        <v>1895</v>
      </c>
      <c r="G154" s="23">
        <v>2</v>
      </c>
    </row>
    <row r="155" s="21" customFormat="1" ht="21.5" customHeight="1" spans="1:7">
      <c r="A155" s="3"/>
      <c r="B155" s="3">
        <v>2105</v>
      </c>
      <c r="C155" s="3"/>
      <c r="D155" s="22" t="s">
        <v>2057</v>
      </c>
      <c r="E155" s="10" t="s">
        <v>2132</v>
      </c>
      <c r="F155" s="23" t="s">
        <v>12</v>
      </c>
      <c r="G155" s="23">
        <v>2</v>
      </c>
    </row>
    <row r="156" s="21" customFormat="1" ht="21.5" customHeight="1" spans="1:7">
      <c r="A156" s="3"/>
      <c r="B156" s="3">
        <v>2105</v>
      </c>
      <c r="C156" s="3"/>
      <c r="D156" s="22" t="s">
        <v>2116</v>
      </c>
      <c r="E156" s="10" t="s">
        <v>2133</v>
      </c>
      <c r="F156" s="23" t="s">
        <v>1895</v>
      </c>
      <c r="G156" s="23">
        <v>2</v>
      </c>
    </row>
    <row r="157" s="21" customFormat="1" ht="21.5" customHeight="1" spans="1:7">
      <c r="A157" s="3"/>
      <c r="B157" s="3">
        <v>2105</v>
      </c>
      <c r="C157" s="3"/>
      <c r="D157" s="22" t="s">
        <v>2134</v>
      </c>
      <c r="E157" s="10" t="s">
        <v>2135</v>
      </c>
      <c r="F157" s="23" t="s">
        <v>12</v>
      </c>
      <c r="G157" s="23">
        <v>1</v>
      </c>
    </row>
    <row r="158" s="21" customFormat="1" ht="21.5" customHeight="1" spans="1:7">
      <c r="A158" s="3"/>
      <c r="B158" s="3">
        <v>2105</v>
      </c>
      <c r="C158" s="3"/>
      <c r="D158" s="22" t="s">
        <v>2136</v>
      </c>
      <c r="E158" s="10" t="s">
        <v>2137</v>
      </c>
      <c r="F158" s="23" t="s">
        <v>12</v>
      </c>
      <c r="G158" s="23">
        <v>1</v>
      </c>
    </row>
    <row r="159" s="21" customFormat="1" ht="21.5" customHeight="1" spans="1:7">
      <c r="A159" s="3"/>
      <c r="B159" s="3">
        <v>2105</v>
      </c>
      <c r="C159" s="3"/>
      <c r="D159" s="22" t="s">
        <v>2138</v>
      </c>
      <c r="E159" s="10" t="s">
        <v>2139</v>
      </c>
      <c r="F159" s="23" t="s">
        <v>12</v>
      </c>
      <c r="G159" s="23">
        <v>2</v>
      </c>
    </row>
    <row r="160" s="21" customFormat="1" ht="21.5" customHeight="1" spans="1:7">
      <c r="A160" s="3" t="s">
        <v>1990</v>
      </c>
      <c r="B160" s="3">
        <v>2105</v>
      </c>
      <c r="C160" s="3"/>
      <c r="D160" s="22" t="s">
        <v>2140</v>
      </c>
      <c r="E160" s="10"/>
      <c r="F160" s="23"/>
      <c r="G160" s="23"/>
    </row>
    <row r="161" s="21" customFormat="1" ht="21.5" customHeight="1" spans="1:7">
      <c r="A161" s="3"/>
      <c r="B161" s="3">
        <v>2105</v>
      </c>
      <c r="C161" s="3"/>
      <c r="D161" s="22" t="s">
        <v>2115</v>
      </c>
      <c r="E161" s="10" t="s">
        <v>2129</v>
      </c>
      <c r="F161" s="23" t="s">
        <v>1895</v>
      </c>
      <c r="G161" s="23">
        <v>1</v>
      </c>
    </row>
    <row r="162" s="21" customFormat="1" ht="21.5" customHeight="1" spans="1:7">
      <c r="A162" s="3"/>
      <c r="B162" s="3">
        <v>2105</v>
      </c>
      <c r="C162" s="3"/>
      <c r="D162" s="22" t="s">
        <v>2130</v>
      </c>
      <c r="E162" s="10" t="s">
        <v>2131</v>
      </c>
      <c r="F162" s="23" t="s">
        <v>1895</v>
      </c>
      <c r="G162" s="23">
        <v>3</v>
      </c>
    </row>
    <row r="163" s="21" customFormat="1" ht="21.5" customHeight="1" spans="1:7">
      <c r="A163" s="3"/>
      <c r="B163" s="3">
        <v>2105</v>
      </c>
      <c r="C163" s="3"/>
      <c r="D163" s="22" t="s">
        <v>2116</v>
      </c>
      <c r="E163" s="10" t="s">
        <v>2141</v>
      </c>
      <c r="F163" s="23" t="s">
        <v>1895</v>
      </c>
      <c r="G163" s="23">
        <v>5</v>
      </c>
    </row>
    <row r="164" s="21" customFormat="1" ht="21.5" customHeight="1" spans="1:7">
      <c r="A164" s="3"/>
      <c r="B164" s="3">
        <v>2105</v>
      </c>
      <c r="C164" s="3"/>
      <c r="D164" s="22" t="s">
        <v>2142</v>
      </c>
      <c r="E164" s="10" t="s">
        <v>2143</v>
      </c>
      <c r="F164" s="23" t="s">
        <v>12</v>
      </c>
      <c r="G164" s="23">
        <v>27</v>
      </c>
    </row>
    <row r="165" s="21" customFormat="1" ht="21.5" customHeight="1" spans="1:7">
      <c r="A165" s="3" t="s">
        <v>2023</v>
      </c>
      <c r="B165" s="3">
        <v>2105</v>
      </c>
      <c r="C165" s="3"/>
      <c r="D165" s="22" t="s">
        <v>2144</v>
      </c>
      <c r="E165" s="10"/>
      <c r="F165" s="23"/>
      <c r="G165" s="23"/>
    </row>
    <row r="166" s="21" customFormat="1" ht="21.5" customHeight="1" spans="1:7">
      <c r="A166" s="3"/>
      <c r="B166" s="3">
        <v>2105</v>
      </c>
      <c r="C166" s="3"/>
      <c r="D166" s="22" t="s">
        <v>2115</v>
      </c>
      <c r="E166" s="10" t="s">
        <v>1989</v>
      </c>
      <c r="F166" s="23" t="s">
        <v>1895</v>
      </c>
      <c r="G166" s="23">
        <v>1</v>
      </c>
    </row>
    <row r="167" s="21" customFormat="1" ht="21.5" customHeight="1" spans="1:7">
      <c r="A167" s="3"/>
      <c r="B167" s="3">
        <v>2105</v>
      </c>
      <c r="C167" s="3"/>
      <c r="D167" s="22" t="s">
        <v>2074</v>
      </c>
      <c r="E167" s="10" t="s">
        <v>2145</v>
      </c>
      <c r="F167" s="23" t="s">
        <v>1895</v>
      </c>
      <c r="G167" s="23">
        <v>4</v>
      </c>
    </row>
    <row r="168" s="21" customFormat="1" ht="21.5" customHeight="1" spans="1:7">
      <c r="A168" s="3"/>
      <c r="B168" s="3">
        <v>2105</v>
      </c>
      <c r="C168" s="3"/>
      <c r="D168" s="22" t="s">
        <v>2054</v>
      </c>
      <c r="E168" s="10" t="s">
        <v>2146</v>
      </c>
      <c r="F168" s="23" t="s">
        <v>12</v>
      </c>
      <c r="G168" s="23">
        <v>2</v>
      </c>
    </row>
    <row r="169" s="21" customFormat="1" ht="21.5" customHeight="1" spans="1:7">
      <c r="A169" s="3"/>
      <c r="B169" s="3">
        <v>2105</v>
      </c>
      <c r="C169" s="3"/>
      <c r="D169" s="39" t="s">
        <v>2054</v>
      </c>
      <c r="E169" s="37" t="s">
        <v>2147</v>
      </c>
      <c r="F169" s="38" t="s">
        <v>12</v>
      </c>
      <c r="G169" s="38">
        <v>2</v>
      </c>
    </row>
    <row r="170" s="21" customFormat="1" ht="21.5" customHeight="1" spans="1:7">
      <c r="A170" s="3"/>
      <c r="B170" s="3">
        <v>2105</v>
      </c>
      <c r="C170" s="3"/>
      <c r="D170" s="22" t="s">
        <v>2054</v>
      </c>
      <c r="E170" s="10" t="s">
        <v>2148</v>
      </c>
      <c r="F170" s="23" t="s">
        <v>12</v>
      </c>
      <c r="G170" s="23">
        <v>2</v>
      </c>
    </row>
    <row r="171" s="21" customFormat="1" ht="21.5" customHeight="1" spans="1:7">
      <c r="A171" s="3"/>
      <c r="B171" s="3">
        <v>2105</v>
      </c>
      <c r="C171" s="3"/>
      <c r="D171" s="22" t="s">
        <v>2116</v>
      </c>
      <c r="E171" s="10" t="s">
        <v>2149</v>
      </c>
      <c r="F171" s="23" t="s">
        <v>1895</v>
      </c>
      <c r="G171" s="23">
        <v>4</v>
      </c>
    </row>
    <row r="172" s="21" customFormat="1" ht="21.5" customHeight="1" spans="1:7">
      <c r="A172" s="3"/>
      <c r="B172" s="3">
        <v>2105</v>
      </c>
      <c r="C172" s="3"/>
      <c r="D172" s="22" t="s">
        <v>2150</v>
      </c>
      <c r="E172" s="10" t="s">
        <v>2151</v>
      </c>
      <c r="F172" s="23" t="s">
        <v>12</v>
      </c>
      <c r="G172" s="23">
        <v>2</v>
      </c>
    </row>
    <row r="173" s="21" customFormat="1" ht="21.5" customHeight="1" spans="1:7">
      <c r="A173" s="3"/>
      <c r="B173" s="3">
        <v>2105</v>
      </c>
      <c r="C173" s="3"/>
      <c r="D173" s="22" t="s">
        <v>2152</v>
      </c>
      <c r="E173" s="10" t="s">
        <v>2153</v>
      </c>
      <c r="F173" s="23" t="s">
        <v>12</v>
      </c>
      <c r="G173" s="23">
        <v>2</v>
      </c>
    </row>
    <row r="174" s="21" customFormat="1" ht="21.5" customHeight="1" spans="1:7">
      <c r="A174" s="3"/>
      <c r="B174" s="3">
        <v>2105</v>
      </c>
      <c r="C174" s="3"/>
      <c r="D174" s="22" t="s">
        <v>2154</v>
      </c>
      <c r="E174" s="10" t="s">
        <v>2155</v>
      </c>
      <c r="F174" s="23" t="s">
        <v>12</v>
      </c>
      <c r="G174" s="23">
        <v>2</v>
      </c>
    </row>
    <row r="175" s="21" customFormat="1" ht="21.5" customHeight="1" spans="1:7">
      <c r="A175" s="3"/>
      <c r="B175" s="3">
        <v>2105</v>
      </c>
      <c r="C175" s="3"/>
      <c r="D175" s="22" t="s">
        <v>2130</v>
      </c>
      <c r="E175" s="10" t="s">
        <v>2156</v>
      </c>
      <c r="F175" s="23" t="s">
        <v>1895</v>
      </c>
      <c r="G175" s="23">
        <v>4</v>
      </c>
    </row>
    <row r="176" s="21" customFormat="1" ht="21.5" customHeight="1" spans="1:7">
      <c r="A176" s="3">
        <v>5.2</v>
      </c>
      <c r="B176" s="3">
        <v>2105</v>
      </c>
      <c r="C176" s="3"/>
      <c r="D176" s="22" t="s">
        <v>2009</v>
      </c>
      <c r="E176" s="10"/>
      <c r="F176" s="23"/>
      <c r="G176" s="23"/>
    </row>
    <row r="177" s="21" customFormat="1" ht="21.5" customHeight="1" spans="1:7">
      <c r="A177" s="3" t="s">
        <v>1975</v>
      </c>
      <c r="B177" s="3">
        <v>2105</v>
      </c>
      <c r="C177" s="3" t="s">
        <v>1843</v>
      </c>
      <c r="D177" s="22" t="s">
        <v>1843</v>
      </c>
      <c r="E177" s="10"/>
      <c r="F177" s="23"/>
      <c r="G177" s="23"/>
    </row>
    <row r="178" s="21" customFormat="1" ht="21.5" customHeight="1" spans="1:7">
      <c r="A178" s="3"/>
      <c r="B178" s="3">
        <v>2105</v>
      </c>
      <c r="C178" s="3" t="s">
        <v>1843</v>
      </c>
      <c r="D178" s="22" t="s">
        <v>1843</v>
      </c>
      <c r="E178" s="10" t="s">
        <v>2157</v>
      </c>
      <c r="F178" s="23" t="s">
        <v>826</v>
      </c>
      <c r="G178" s="23">
        <v>80</v>
      </c>
    </row>
    <row r="179" s="21" customFormat="1" ht="21.5" customHeight="1" spans="1:7">
      <c r="A179" s="3"/>
      <c r="B179" s="3">
        <v>2105</v>
      </c>
      <c r="C179" s="3" t="s">
        <v>1843</v>
      </c>
      <c r="D179" s="22" t="s">
        <v>1843</v>
      </c>
      <c r="E179" s="10" t="s">
        <v>2158</v>
      </c>
      <c r="F179" s="23" t="s">
        <v>826</v>
      </c>
      <c r="G179" s="23">
        <v>8150</v>
      </c>
    </row>
    <row r="180" s="21" customFormat="1" ht="21.5" customHeight="1" spans="1:7">
      <c r="A180" s="3"/>
      <c r="B180" s="3">
        <v>2105</v>
      </c>
      <c r="C180" s="3" t="s">
        <v>1843</v>
      </c>
      <c r="D180" s="22" t="s">
        <v>1843</v>
      </c>
      <c r="E180" s="10" t="s">
        <v>2159</v>
      </c>
      <c r="F180" s="23" t="s">
        <v>826</v>
      </c>
      <c r="G180" s="23">
        <v>1950</v>
      </c>
    </row>
    <row r="181" s="21" customFormat="1" ht="21.5" customHeight="1" spans="1:7">
      <c r="A181" s="3"/>
      <c r="B181" s="3">
        <v>2105</v>
      </c>
      <c r="C181" s="3" t="s">
        <v>1843</v>
      </c>
      <c r="D181" s="22" t="s">
        <v>1843</v>
      </c>
      <c r="E181" s="10" t="s">
        <v>2160</v>
      </c>
      <c r="F181" s="23" t="s">
        <v>826</v>
      </c>
      <c r="G181" s="23">
        <v>928</v>
      </c>
    </row>
    <row r="182" s="21" customFormat="1" ht="21.5" customHeight="1" spans="1:7">
      <c r="A182" s="3"/>
      <c r="B182" s="3">
        <v>2105</v>
      </c>
      <c r="C182" s="3" t="s">
        <v>2102</v>
      </c>
      <c r="D182" s="22" t="s">
        <v>1843</v>
      </c>
      <c r="E182" s="10" t="s">
        <v>2104</v>
      </c>
      <c r="F182" s="23" t="s">
        <v>826</v>
      </c>
      <c r="G182" s="23">
        <v>844</v>
      </c>
    </row>
    <row r="183" s="21" customFormat="1" ht="21.5" customHeight="1" spans="1:7">
      <c r="A183" s="3"/>
      <c r="B183" s="3">
        <v>2105</v>
      </c>
      <c r="C183" s="3" t="s">
        <v>2102</v>
      </c>
      <c r="D183" s="22" t="s">
        <v>1843</v>
      </c>
      <c r="E183" s="10" t="s">
        <v>2161</v>
      </c>
      <c r="F183" s="23" t="s">
        <v>826</v>
      </c>
      <c r="G183" s="23">
        <v>624</v>
      </c>
    </row>
    <row r="184" s="21" customFormat="1" ht="21.5" customHeight="1" spans="1:7">
      <c r="A184" s="3"/>
      <c r="B184" s="3">
        <v>2105</v>
      </c>
      <c r="C184" s="3" t="s">
        <v>2102</v>
      </c>
      <c r="D184" s="22" t="s">
        <v>1843</v>
      </c>
      <c r="E184" s="10" t="s">
        <v>2162</v>
      </c>
      <c r="F184" s="23" t="s">
        <v>826</v>
      </c>
      <c r="G184" s="23">
        <v>584</v>
      </c>
    </row>
    <row r="185" s="21" customFormat="1" ht="21.5" customHeight="1" spans="1:7">
      <c r="A185" s="3"/>
      <c r="B185" s="3">
        <v>2105</v>
      </c>
      <c r="C185" s="3" t="s">
        <v>1843</v>
      </c>
      <c r="D185" s="22" t="s">
        <v>1843</v>
      </c>
      <c r="E185" s="10" t="s">
        <v>2016</v>
      </c>
      <c r="F185" s="23" t="s">
        <v>826</v>
      </c>
      <c r="G185" s="23">
        <v>1248</v>
      </c>
    </row>
    <row r="186" s="21" customFormat="1" ht="21.5" customHeight="1" spans="1:7">
      <c r="A186" s="3"/>
      <c r="B186" s="3">
        <v>2105</v>
      </c>
      <c r="C186" s="3" t="s">
        <v>1843</v>
      </c>
      <c r="D186" s="22" t="s">
        <v>1843</v>
      </c>
      <c r="E186" s="10" t="s">
        <v>2160</v>
      </c>
      <c r="F186" s="23" t="s">
        <v>826</v>
      </c>
      <c r="G186" s="23">
        <v>115</v>
      </c>
    </row>
    <row r="187" s="21" customFormat="1" ht="21.5" customHeight="1" spans="1:7">
      <c r="A187" s="3"/>
      <c r="B187" s="3">
        <v>2105</v>
      </c>
      <c r="C187" s="3" t="s">
        <v>1843</v>
      </c>
      <c r="D187" s="22" t="s">
        <v>1843</v>
      </c>
      <c r="E187" s="10" t="s">
        <v>2163</v>
      </c>
      <c r="F187" s="23" t="s">
        <v>826</v>
      </c>
      <c r="G187" s="23">
        <v>132</v>
      </c>
    </row>
    <row r="188" s="21" customFormat="1" ht="21.5" customHeight="1" spans="1:7">
      <c r="A188" s="3"/>
      <c r="B188" s="3">
        <v>2105</v>
      </c>
      <c r="C188" s="3" t="s">
        <v>2102</v>
      </c>
      <c r="D188" s="22" t="s">
        <v>1843</v>
      </c>
      <c r="E188" s="10" t="s">
        <v>2164</v>
      </c>
      <c r="F188" s="23" t="s">
        <v>826</v>
      </c>
      <c r="G188" s="23">
        <v>3433</v>
      </c>
    </row>
    <row r="189" s="21" customFormat="1" ht="21.5" customHeight="1" spans="1:7">
      <c r="A189" s="3"/>
      <c r="B189" s="3">
        <v>2105</v>
      </c>
      <c r="C189" s="3" t="s">
        <v>2102</v>
      </c>
      <c r="D189" s="22" t="s">
        <v>1843</v>
      </c>
      <c r="E189" s="10" t="s">
        <v>2104</v>
      </c>
      <c r="F189" s="23" t="s">
        <v>826</v>
      </c>
      <c r="G189" s="23">
        <v>844</v>
      </c>
    </row>
    <row r="190" s="21" customFormat="1" ht="21.5" customHeight="1" spans="1:7">
      <c r="A190" s="3"/>
      <c r="B190" s="3">
        <v>2105</v>
      </c>
      <c r="C190" s="3" t="s">
        <v>1843</v>
      </c>
      <c r="D190" s="22" t="s">
        <v>1843</v>
      </c>
      <c r="E190" s="10" t="s">
        <v>2165</v>
      </c>
      <c r="F190" s="23" t="s">
        <v>826</v>
      </c>
      <c r="G190" s="23">
        <v>4250</v>
      </c>
    </row>
    <row r="191" s="21" customFormat="1" ht="21.5" customHeight="1" spans="1:7">
      <c r="A191" s="3"/>
      <c r="B191" s="3">
        <v>2105</v>
      </c>
      <c r="C191" s="3" t="s">
        <v>1843</v>
      </c>
      <c r="D191" s="22" t="s">
        <v>1843</v>
      </c>
      <c r="E191" s="10" t="s">
        <v>2062</v>
      </c>
      <c r="F191" s="23" t="s">
        <v>826</v>
      </c>
      <c r="G191" s="23">
        <v>528</v>
      </c>
    </row>
    <row r="192" s="21" customFormat="1" ht="21.5" customHeight="1" spans="1:7">
      <c r="A192" s="3" t="s">
        <v>1982</v>
      </c>
      <c r="B192" s="3">
        <v>2105</v>
      </c>
      <c r="C192" s="3" t="s">
        <v>1847</v>
      </c>
      <c r="D192" s="22" t="s">
        <v>1847</v>
      </c>
      <c r="E192" s="10"/>
      <c r="F192" s="23"/>
      <c r="G192" s="23"/>
    </row>
    <row r="193" s="21" customFormat="1" ht="21.5" customHeight="1" spans="1:7">
      <c r="A193" s="3"/>
      <c r="B193" s="3">
        <v>2105</v>
      </c>
      <c r="C193" s="3" t="s">
        <v>1847</v>
      </c>
      <c r="D193" s="22" t="s">
        <v>1847</v>
      </c>
      <c r="E193" s="10" t="s">
        <v>2166</v>
      </c>
      <c r="F193" s="23" t="s">
        <v>826</v>
      </c>
      <c r="G193" s="23">
        <v>4385</v>
      </c>
    </row>
    <row r="194" s="21" customFormat="1" ht="21.5" customHeight="1" spans="1:7">
      <c r="A194" s="3"/>
      <c r="B194" s="3">
        <v>2105</v>
      </c>
      <c r="C194" s="3" t="s">
        <v>1847</v>
      </c>
      <c r="D194" s="22" t="s">
        <v>1847</v>
      </c>
      <c r="E194" s="10" t="s">
        <v>2167</v>
      </c>
      <c r="F194" s="23" t="s">
        <v>826</v>
      </c>
      <c r="G194" s="23">
        <v>2795</v>
      </c>
    </row>
    <row r="195" s="21" customFormat="1" ht="21.5" customHeight="1" spans="1:7">
      <c r="A195" s="3"/>
      <c r="B195" s="3">
        <v>2105</v>
      </c>
      <c r="C195" s="3" t="s">
        <v>1847</v>
      </c>
      <c r="D195" s="22" t="s">
        <v>1847</v>
      </c>
      <c r="E195" s="10" t="s">
        <v>2168</v>
      </c>
      <c r="F195" s="23" t="s">
        <v>826</v>
      </c>
      <c r="G195" s="23">
        <v>730</v>
      </c>
    </row>
    <row r="196" s="21" customFormat="1" ht="21.5" customHeight="1" spans="1:7">
      <c r="A196" s="3"/>
      <c r="B196" s="3">
        <v>2105</v>
      </c>
      <c r="C196" s="3" t="s">
        <v>1847</v>
      </c>
      <c r="D196" s="22" t="s">
        <v>1847</v>
      </c>
      <c r="E196" s="10" t="s">
        <v>2169</v>
      </c>
      <c r="F196" s="23" t="s">
        <v>826</v>
      </c>
      <c r="G196" s="23">
        <v>5835</v>
      </c>
    </row>
    <row r="197" s="21" customFormat="1" ht="21.5" customHeight="1" spans="1:7">
      <c r="A197" s="3"/>
      <c r="B197" s="3">
        <v>2105</v>
      </c>
      <c r="C197" s="3" t="s">
        <v>1847</v>
      </c>
      <c r="D197" s="22" t="s">
        <v>1847</v>
      </c>
      <c r="E197" s="10" t="s">
        <v>2044</v>
      </c>
      <c r="F197" s="23" t="s">
        <v>826</v>
      </c>
      <c r="G197" s="23">
        <v>2513</v>
      </c>
    </row>
    <row r="198" s="21" customFormat="1" ht="21.5" customHeight="1" spans="1:7">
      <c r="A198" s="3" t="s">
        <v>1985</v>
      </c>
      <c r="B198" s="3">
        <v>2105</v>
      </c>
      <c r="C198" s="3" t="s">
        <v>1970</v>
      </c>
      <c r="D198" s="22" t="s">
        <v>1970</v>
      </c>
      <c r="E198" s="10" t="s">
        <v>2022</v>
      </c>
      <c r="F198" s="23" t="s">
        <v>1210</v>
      </c>
      <c r="G198" s="23">
        <v>17</v>
      </c>
    </row>
    <row r="199" s="21" customFormat="1" ht="21.5" customHeight="1" spans="1:7">
      <c r="A199" s="3"/>
      <c r="B199" s="3">
        <v>2105</v>
      </c>
      <c r="C199" s="3" t="s">
        <v>831</v>
      </c>
      <c r="D199" s="22" t="s">
        <v>2045</v>
      </c>
      <c r="E199" s="10" t="s">
        <v>2170</v>
      </c>
      <c r="F199" s="23" t="s">
        <v>1210</v>
      </c>
      <c r="G199" s="23">
        <v>6.5</v>
      </c>
    </row>
    <row r="200" s="21" customFormat="1" ht="21.5" customHeight="1" spans="1:7">
      <c r="A200" s="3"/>
      <c r="B200" s="3">
        <v>2105</v>
      </c>
      <c r="C200" s="3" t="s">
        <v>2024</v>
      </c>
      <c r="D200" s="22" t="s">
        <v>2024</v>
      </c>
      <c r="E200" s="10" t="s">
        <v>2025</v>
      </c>
      <c r="F200" s="23" t="s">
        <v>1210</v>
      </c>
      <c r="G200" s="23">
        <v>4.5</v>
      </c>
    </row>
    <row r="201" s="21" customFormat="1" ht="21.5" customHeight="1" spans="1:7">
      <c r="A201" s="3" t="s">
        <v>1990</v>
      </c>
      <c r="B201" s="3">
        <v>2105</v>
      </c>
      <c r="C201" s="3" t="s">
        <v>2010</v>
      </c>
      <c r="D201" s="22" t="s">
        <v>2110</v>
      </c>
      <c r="E201" s="10" t="s">
        <v>2171</v>
      </c>
      <c r="F201" s="23" t="s">
        <v>826</v>
      </c>
      <c r="G201" s="23">
        <v>70</v>
      </c>
    </row>
    <row r="202" s="21" customFormat="1" ht="21.5" customHeight="1" spans="1:7">
      <c r="A202" s="3" t="s">
        <v>2023</v>
      </c>
      <c r="B202" s="3">
        <v>2105</v>
      </c>
      <c r="C202" s="3"/>
      <c r="D202" s="22" t="s">
        <v>2029</v>
      </c>
      <c r="E202" s="10"/>
      <c r="F202" s="23" t="s">
        <v>1316</v>
      </c>
      <c r="G202" s="23">
        <v>7500</v>
      </c>
    </row>
    <row r="203" s="21" customFormat="1" ht="21.5" customHeight="1" spans="1:7">
      <c r="A203" s="3"/>
      <c r="B203" s="3"/>
      <c r="C203" s="3"/>
      <c r="D203" s="22"/>
      <c r="E203" s="10"/>
      <c r="F203" s="23"/>
      <c r="G203" s="23"/>
    </row>
    <row r="204" s="21" customFormat="1" ht="21.5" customHeight="1" spans="1:7">
      <c r="A204" s="3" t="s">
        <v>2172</v>
      </c>
      <c r="B204" s="3"/>
      <c r="C204" s="3"/>
      <c r="D204" s="22" t="s">
        <v>2173</v>
      </c>
      <c r="E204" s="10"/>
      <c r="F204" s="23"/>
      <c r="G204" s="23"/>
    </row>
    <row r="205" s="21" customFormat="1" ht="21.5" customHeight="1" spans="1:7">
      <c r="A205" s="3">
        <v>2.1</v>
      </c>
      <c r="B205" s="3">
        <v>2105</v>
      </c>
      <c r="C205" s="3"/>
      <c r="D205" s="22" t="s">
        <v>1974</v>
      </c>
      <c r="E205" s="10"/>
      <c r="F205" s="23"/>
      <c r="G205" s="23"/>
    </row>
    <row r="206" s="21" customFormat="1" ht="21.5" customHeight="1" spans="1:7">
      <c r="A206" s="3" t="s">
        <v>1975</v>
      </c>
      <c r="B206" s="3">
        <v>2105</v>
      </c>
      <c r="C206" s="3"/>
      <c r="D206" s="22" t="s">
        <v>1976</v>
      </c>
      <c r="E206" s="10" t="s">
        <v>1977</v>
      </c>
      <c r="F206" s="23" t="s">
        <v>26</v>
      </c>
      <c r="G206" s="23">
        <v>0</v>
      </c>
    </row>
    <row r="207" s="21" customFormat="1" ht="21.5" customHeight="1" spans="1:7">
      <c r="A207" s="3"/>
      <c r="B207" s="3">
        <v>2105</v>
      </c>
      <c r="C207" s="3"/>
      <c r="D207" s="22" t="s">
        <v>2048</v>
      </c>
      <c r="E207" s="10" t="s">
        <v>2174</v>
      </c>
      <c r="F207" s="23" t="s">
        <v>12</v>
      </c>
      <c r="G207" s="23">
        <v>2</v>
      </c>
    </row>
    <row r="208" s="21" customFormat="1" ht="21.5" customHeight="1" spans="1:7">
      <c r="A208" s="3"/>
      <c r="B208" s="3">
        <v>2105</v>
      </c>
      <c r="C208" s="3"/>
      <c r="D208" s="22" t="s">
        <v>1980</v>
      </c>
      <c r="E208" s="10" t="s">
        <v>2175</v>
      </c>
      <c r="F208" s="23" t="s">
        <v>826</v>
      </c>
      <c r="G208" s="23">
        <v>15</v>
      </c>
    </row>
    <row r="209" s="21" customFormat="1" ht="21.5" customHeight="1" spans="1:7">
      <c r="A209" s="3" t="s">
        <v>1982</v>
      </c>
      <c r="B209" s="3">
        <v>2105</v>
      </c>
      <c r="C209" s="3"/>
      <c r="D209" s="22" t="s">
        <v>1983</v>
      </c>
      <c r="E209" s="10" t="s">
        <v>2176</v>
      </c>
      <c r="F209" s="23" t="s">
        <v>23</v>
      </c>
      <c r="G209" s="35">
        <v>0</v>
      </c>
    </row>
    <row r="210" s="21" customFormat="1" ht="21.5" customHeight="1" spans="1:7">
      <c r="A210" s="3" t="s">
        <v>1985</v>
      </c>
      <c r="B210" s="3">
        <v>2105</v>
      </c>
      <c r="C210" s="3"/>
      <c r="D210" s="22" t="s">
        <v>1986</v>
      </c>
      <c r="E210" s="10" t="s">
        <v>2177</v>
      </c>
      <c r="F210" s="23" t="s">
        <v>1895</v>
      </c>
      <c r="G210" s="23">
        <v>2</v>
      </c>
    </row>
    <row r="211" s="21" customFormat="1" ht="21.5" customHeight="1" spans="1:7">
      <c r="A211" s="3"/>
      <c r="B211" s="3">
        <v>2105</v>
      </c>
      <c r="C211" s="3"/>
      <c r="D211" s="22" t="s">
        <v>1988</v>
      </c>
      <c r="E211" s="10" t="s">
        <v>2178</v>
      </c>
      <c r="F211" s="23" t="s">
        <v>1895</v>
      </c>
      <c r="G211" s="23">
        <v>1</v>
      </c>
    </row>
    <row r="212" s="21" customFormat="1" ht="21.5" customHeight="1" spans="1:7">
      <c r="A212" s="3" t="s">
        <v>1990</v>
      </c>
      <c r="B212" s="3">
        <v>2105</v>
      </c>
      <c r="C212" s="3"/>
      <c r="D212" s="22" t="s">
        <v>2179</v>
      </c>
      <c r="E212" s="10" t="s">
        <v>2180</v>
      </c>
      <c r="F212" s="23" t="s">
        <v>1895</v>
      </c>
      <c r="G212" s="23">
        <v>2</v>
      </c>
    </row>
    <row r="213" s="21" customFormat="1" ht="21.5" customHeight="1" spans="1:7">
      <c r="A213" s="3"/>
      <c r="B213" s="3">
        <v>2105</v>
      </c>
      <c r="C213" s="3"/>
      <c r="D213" s="22" t="s">
        <v>2179</v>
      </c>
      <c r="E213" s="10" t="s">
        <v>2181</v>
      </c>
      <c r="F213" s="23" t="s">
        <v>1895</v>
      </c>
      <c r="G213" s="23">
        <v>1</v>
      </c>
    </row>
    <row r="214" s="21" customFormat="1" ht="21.5" customHeight="1" spans="1:7">
      <c r="A214" s="3"/>
      <c r="B214" s="3">
        <v>2105</v>
      </c>
      <c r="C214" s="3"/>
      <c r="D214" s="22" t="s">
        <v>2179</v>
      </c>
      <c r="E214" s="10" t="s">
        <v>2182</v>
      </c>
      <c r="F214" s="23" t="s">
        <v>1895</v>
      </c>
      <c r="G214" s="23">
        <v>4</v>
      </c>
    </row>
    <row r="215" s="21" customFormat="1" ht="21.5" customHeight="1" spans="1:7">
      <c r="A215" s="3">
        <v>2.2</v>
      </c>
      <c r="B215" s="3">
        <v>2105</v>
      </c>
      <c r="C215" s="3"/>
      <c r="D215" s="22" t="s">
        <v>2009</v>
      </c>
      <c r="E215" s="10"/>
      <c r="F215" s="23"/>
      <c r="G215" s="23"/>
    </row>
    <row r="216" s="21" customFormat="1" ht="21.5" customHeight="1" spans="1:7">
      <c r="A216" s="3" t="s">
        <v>1975</v>
      </c>
      <c r="B216" s="3">
        <v>2105</v>
      </c>
      <c r="C216" s="3" t="s">
        <v>1843</v>
      </c>
      <c r="D216" s="22" t="s">
        <v>1843</v>
      </c>
      <c r="E216" s="10"/>
      <c r="F216" s="23"/>
      <c r="G216" s="23"/>
    </row>
    <row r="217" s="21" customFormat="1" ht="21.5" customHeight="1" spans="1:7">
      <c r="A217" s="3"/>
      <c r="B217" s="3">
        <v>2105</v>
      </c>
      <c r="C217" s="3" t="s">
        <v>1843</v>
      </c>
      <c r="D217" s="22" t="s">
        <v>1843</v>
      </c>
      <c r="E217" s="10" t="s">
        <v>2018</v>
      </c>
      <c r="F217" s="23" t="s">
        <v>826</v>
      </c>
      <c r="G217" s="23">
        <v>2292</v>
      </c>
    </row>
    <row r="218" s="21" customFormat="1" ht="21.5" customHeight="1" spans="1:7">
      <c r="A218" s="3"/>
      <c r="B218" s="3">
        <v>2105</v>
      </c>
      <c r="C218" s="3" t="s">
        <v>1843</v>
      </c>
      <c r="D218" s="22" t="s">
        <v>1843</v>
      </c>
      <c r="E218" s="10" t="s">
        <v>2016</v>
      </c>
      <c r="F218" s="23" t="s">
        <v>826</v>
      </c>
      <c r="G218" s="23">
        <v>350</v>
      </c>
    </row>
    <row r="219" s="21" customFormat="1" ht="21.5" customHeight="1" spans="1:7">
      <c r="A219" s="3"/>
      <c r="B219" s="3">
        <v>2105</v>
      </c>
      <c r="C219" s="3" t="s">
        <v>1843</v>
      </c>
      <c r="D219" s="22" t="s">
        <v>1843</v>
      </c>
      <c r="E219" s="10" t="s">
        <v>2183</v>
      </c>
      <c r="F219" s="23" t="s">
        <v>826</v>
      </c>
      <c r="G219" s="23">
        <v>682</v>
      </c>
    </row>
    <row r="220" s="21" customFormat="1" ht="21.5" customHeight="1" spans="1:7">
      <c r="A220" s="3"/>
      <c r="B220" s="3">
        <v>2105</v>
      </c>
      <c r="C220" s="3" t="s">
        <v>1843</v>
      </c>
      <c r="D220" s="22" t="s">
        <v>1843</v>
      </c>
      <c r="E220" s="10" t="s">
        <v>2184</v>
      </c>
      <c r="F220" s="23" t="s">
        <v>826</v>
      </c>
      <c r="G220" s="23">
        <v>105</v>
      </c>
    </row>
    <row r="221" s="21" customFormat="1" ht="21.5" customHeight="1" spans="1:7">
      <c r="A221" s="3" t="s">
        <v>1982</v>
      </c>
      <c r="B221" s="3">
        <v>2105</v>
      </c>
      <c r="C221" s="3" t="s">
        <v>1970</v>
      </c>
      <c r="D221" s="22" t="s">
        <v>1970</v>
      </c>
      <c r="E221" s="10" t="s">
        <v>2022</v>
      </c>
      <c r="F221" s="23" t="s">
        <v>1210</v>
      </c>
      <c r="G221" s="23">
        <v>43.82</v>
      </c>
    </row>
    <row r="222" s="21" customFormat="1" ht="21.5" customHeight="1" spans="1:7">
      <c r="A222" s="3" t="s">
        <v>1985</v>
      </c>
      <c r="B222" s="3">
        <v>2105</v>
      </c>
      <c r="C222" s="3" t="s">
        <v>831</v>
      </c>
      <c r="D222" s="22" t="s">
        <v>2185</v>
      </c>
      <c r="E222" s="10" t="s">
        <v>2046</v>
      </c>
      <c r="F222" s="23" t="s">
        <v>1210</v>
      </c>
      <c r="G222" s="23">
        <v>6.573</v>
      </c>
    </row>
    <row r="223" s="21" customFormat="1" ht="21.5" customHeight="1" spans="1:7">
      <c r="A223" s="3" t="s">
        <v>1990</v>
      </c>
      <c r="B223" s="3">
        <v>2105</v>
      </c>
      <c r="C223" s="3" t="s">
        <v>2024</v>
      </c>
      <c r="D223" s="22" t="s">
        <v>2024</v>
      </c>
      <c r="E223" s="10" t="s">
        <v>2025</v>
      </c>
      <c r="F223" s="23" t="s">
        <v>1210</v>
      </c>
      <c r="G223" s="23">
        <v>9.5</v>
      </c>
    </row>
    <row r="224" s="21" customFormat="1" ht="21.5" customHeight="1" spans="1:7">
      <c r="A224" s="3">
        <v>4</v>
      </c>
      <c r="B224" s="3"/>
      <c r="C224" s="3"/>
      <c r="D224" s="22" t="s">
        <v>2186</v>
      </c>
      <c r="E224" s="10"/>
      <c r="F224" s="23"/>
      <c r="G224" s="23"/>
    </row>
    <row r="225" s="21" customFormat="1" ht="21.5" customHeight="1" spans="1:7">
      <c r="A225" s="3">
        <v>4.1</v>
      </c>
      <c r="B225" s="3"/>
      <c r="C225" s="3"/>
      <c r="D225" s="22" t="s">
        <v>1974</v>
      </c>
      <c r="E225" s="10"/>
      <c r="F225" s="23"/>
      <c r="G225" s="23"/>
    </row>
    <row r="226" s="21" customFormat="1" ht="21.5" customHeight="1" spans="1:7">
      <c r="A226" s="3" t="s">
        <v>1975</v>
      </c>
      <c r="B226" s="3">
        <v>2105</v>
      </c>
      <c r="C226" s="3"/>
      <c r="D226" s="22" t="s">
        <v>2067</v>
      </c>
      <c r="E226" s="10"/>
      <c r="F226" s="23"/>
      <c r="G226" s="23"/>
    </row>
    <row r="227" s="21" customFormat="1" ht="21.5" customHeight="1" spans="1:7">
      <c r="A227" s="3"/>
      <c r="B227" s="3">
        <v>2105</v>
      </c>
      <c r="C227" s="3"/>
      <c r="D227" s="22" t="s">
        <v>2187</v>
      </c>
      <c r="E227" s="10" t="s">
        <v>2188</v>
      </c>
      <c r="F227" s="23" t="s">
        <v>26</v>
      </c>
      <c r="G227" s="23">
        <v>6</v>
      </c>
    </row>
    <row r="228" s="21" customFormat="1" ht="21.5" customHeight="1" spans="1:7">
      <c r="A228" s="3"/>
      <c r="B228" s="3">
        <v>2105</v>
      </c>
      <c r="C228" s="3"/>
      <c r="D228" s="22" t="s">
        <v>1900</v>
      </c>
      <c r="E228" s="10" t="s">
        <v>2189</v>
      </c>
      <c r="F228" s="23" t="s">
        <v>26</v>
      </c>
      <c r="G228" s="23">
        <v>2</v>
      </c>
    </row>
    <row r="229" s="21" customFormat="1" ht="21.5" customHeight="1" spans="1:7">
      <c r="A229" s="3"/>
      <c r="B229" s="3">
        <v>2105</v>
      </c>
      <c r="C229" s="3"/>
      <c r="D229" s="22" t="s">
        <v>2190</v>
      </c>
      <c r="E229" s="10" t="s">
        <v>2191</v>
      </c>
      <c r="F229" s="23" t="s">
        <v>26</v>
      </c>
      <c r="G229" s="23">
        <v>3</v>
      </c>
    </row>
    <row r="230" s="21" customFormat="1" ht="21.5" customHeight="1" spans="1:7">
      <c r="A230" s="3"/>
      <c r="B230" s="3">
        <v>2105</v>
      </c>
      <c r="C230" s="3"/>
      <c r="D230" s="22" t="s">
        <v>1902</v>
      </c>
      <c r="E230" s="10" t="s">
        <v>2070</v>
      </c>
      <c r="F230" s="23" t="s">
        <v>26</v>
      </c>
      <c r="G230" s="23">
        <v>14</v>
      </c>
    </row>
    <row r="231" s="21" customFormat="1" ht="21.5" customHeight="1" spans="1:7">
      <c r="A231" s="3"/>
      <c r="B231" s="3">
        <v>2105</v>
      </c>
      <c r="C231" s="3"/>
      <c r="D231" s="22" t="s">
        <v>550</v>
      </c>
      <c r="E231" s="10" t="s">
        <v>2188</v>
      </c>
      <c r="F231" s="23" t="s">
        <v>26</v>
      </c>
      <c r="G231" s="23">
        <v>2</v>
      </c>
    </row>
    <row r="232" s="21" customFormat="1" ht="21.5" customHeight="1" spans="1:7">
      <c r="A232" s="3"/>
      <c r="B232" s="3">
        <v>2105</v>
      </c>
      <c r="C232" s="3"/>
      <c r="D232" s="22" t="s">
        <v>2005</v>
      </c>
      <c r="E232" s="10" t="s">
        <v>2192</v>
      </c>
      <c r="F232" s="23" t="s">
        <v>26</v>
      </c>
      <c r="G232" s="23">
        <v>6</v>
      </c>
    </row>
    <row r="233" s="21" customFormat="1" ht="21.5" customHeight="1" spans="1:7">
      <c r="A233" s="3"/>
      <c r="B233" s="3">
        <v>2105</v>
      </c>
      <c r="C233" s="3"/>
      <c r="D233" s="22" t="s">
        <v>1898</v>
      </c>
      <c r="E233" s="10" t="s">
        <v>2193</v>
      </c>
      <c r="F233" s="23" t="s">
        <v>26</v>
      </c>
      <c r="G233" s="23">
        <v>6</v>
      </c>
    </row>
    <row r="234" s="21" customFormat="1" ht="21.5" customHeight="1" spans="1:7">
      <c r="A234" s="3"/>
      <c r="B234" s="3">
        <v>2105</v>
      </c>
      <c r="C234" s="3"/>
      <c r="D234" s="22" t="s">
        <v>2033</v>
      </c>
      <c r="E234" s="10"/>
      <c r="F234" s="23"/>
      <c r="G234" s="23"/>
    </row>
    <row r="235" s="21" customFormat="1" ht="21.5" customHeight="1" spans="1:7">
      <c r="A235" s="3" t="s">
        <v>1975</v>
      </c>
      <c r="B235" s="3">
        <v>2105</v>
      </c>
      <c r="C235" s="3" t="s">
        <v>1843</v>
      </c>
      <c r="D235" s="22" t="s">
        <v>1843</v>
      </c>
      <c r="E235" s="10"/>
      <c r="F235" s="23"/>
      <c r="G235" s="23"/>
    </row>
    <row r="236" s="21" customFormat="1" ht="21.5" customHeight="1" spans="1:7">
      <c r="A236" s="3"/>
      <c r="B236" s="3">
        <v>2105</v>
      </c>
      <c r="C236" s="3" t="s">
        <v>2102</v>
      </c>
      <c r="D236" s="22" t="s">
        <v>1843</v>
      </c>
      <c r="E236" s="10" t="s">
        <v>2194</v>
      </c>
      <c r="F236" s="23" t="s">
        <v>826</v>
      </c>
      <c r="G236" s="23">
        <v>164</v>
      </c>
    </row>
    <row r="237" s="21" customFormat="1" ht="21.5" customHeight="1" spans="1:7">
      <c r="A237" s="3"/>
      <c r="B237" s="3">
        <v>2105</v>
      </c>
      <c r="C237" s="3" t="s">
        <v>2102</v>
      </c>
      <c r="D237" s="22" t="s">
        <v>1843</v>
      </c>
      <c r="E237" s="10" t="s">
        <v>2195</v>
      </c>
      <c r="F237" s="23" t="s">
        <v>826</v>
      </c>
      <c r="G237" s="23">
        <v>328</v>
      </c>
    </row>
    <row r="238" s="21" customFormat="1" ht="21.5" customHeight="1" spans="1:7">
      <c r="A238" s="3"/>
      <c r="B238" s="3">
        <v>2105</v>
      </c>
      <c r="C238" s="3" t="s">
        <v>1843</v>
      </c>
      <c r="D238" s="22" t="s">
        <v>1843</v>
      </c>
      <c r="E238" s="10" t="s">
        <v>2062</v>
      </c>
      <c r="F238" s="23" t="s">
        <v>826</v>
      </c>
      <c r="G238" s="23">
        <v>1560</v>
      </c>
    </row>
    <row r="239" s="21" customFormat="1" ht="21.5" customHeight="1" spans="1:7">
      <c r="A239" s="3"/>
      <c r="B239" s="3">
        <v>2105</v>
      </c>
      <c r="C239" s="3" t="s">
        <v>1843</v>
      </c>
      <c r="D239" s="22" t="s">
        <v>1843</v>
      </c>
      <c r="E239" s="10" t="s">
        <v>2196</v>
      </c>
      <c r="F239" s="23" t="s">
        <v>826</v>
      </c>
      <c r="G239" s="23">
        <v>2064</v>
      </c>
    </row>
    <row r="240" s="21" customFormat="1" ht="21.5" customHeight="1" spans="1:7">
      <c r="A240" s="3"/>
      <c r="B240" s="3">
        <v>2105</v>
      </c>
      <c r="C240" s="3" t="s">
        <v>1843</v>
      </c>
      <c r="D240" s="22" t="s">
        <v>1843</v>
      </c>
      <c r="E240" s="10" t="s">
        <v>2197</v>
      </c>
      <c r="F240" s="23" t="s">
        <v>826</v>
      </c>
      <c r="G240" s="23">
        <v>164</v>
      </c>
    </row>
    <row r="241" s="21" customFormat="1" ht="21.5" customHeight="1" spans="1:7">
      <c r="A241" s="3" t="s">
        <v>1982</v>
      </c>
      <c r="B241" s="3">
        <v>2105</v>
      </c>
      <c r="C241" s="3" t="s">
        <v>1847</v>
      </c>
      <c r="D241" s="22" t="s">
        <v>1847</v>
      </c>
      <c r="E241" s="10"/>
      <c r="F241" s="23"/>
      <c r="G241" s="23"/>
    </row>
    <row r="242" s="21" customFormat="1" ht="21.5" customHeight="1" spans="1:7">
      <c r="A242" s="3"/>
      <c r="B242" s="3">
        <v>2105</v>
      </c>
      <c r="C242" s="3" t="s">
        <v>1847</v>
      </c>
      <c r="D242" s="22" t="s">
        <v>1847</v>
      </c>
      <c r="E242" s="10" t="s">
        <v>2044</v>
      </c>
      <c r="F242" s="23" t="s">
        <v>826</v>
      </c>
      <c r="G242" s="23">
        <v>2436</v>
      </c>
    </row>
    <row r="243" s="21" customFormat="1" ht="21.5" customHeight="1" spans="1:7">
      <c r="A243" s="3"/>
      <c r="B243" s="3">
        <v>2105</v>
      </c>
      <c r="C243" s="3" t="s">
        <v>1847</v>
      </c>
      <c r="D243" s="22" t="s">
        <v>1847</v>
      </c>
      <c r="E243" s="10" t="s">
        <v>2064</v>
      </c>
      <c r="F243" s="23" t="s">
        <v>826</v>
      </c>
      <c r="G243" s="23">
        <v>412</v>
      </c>
    </row>
    <row r="244" s="21" customFormat="1" ht="21.5" customHeight="1" spans="1:7">
      <c r="A244" s="3" t="s">
        <v>1985</v>
      </c>
      <c r="B244" s="3">
        <v>2105</v>
      </c>
      <c r="C244" s="3" t="s">
        <v>1970</v>
      </c>
      <c r="D244" s="22" t="s">
        <v>1970</v>
      </c>
      <c r="E244" s="10" t="s">
        <v>2022</v>
      </c>
      <c r="F244" s="23" t="s">
        <v>1210</v>
      </c>
      <c r="G244" s="23">
        <v>9</v>
      </c>
    </row>
    <row r="245" s="21" customFormat="1" ht="21.5" customHeight="1" spans="1:7">
      <c r="A245" s="3" t="s">
        <v>1990</v>
      </c>
      <c r="B245" s="3">
        <v>2105</v>
      </c>
      <c r="C245" s="3" t="s">
        <v>831</v>
      </c>
      <c r="D245" s="22" t="s">
        <v>2045</v>
      </c>
      <c r="E245" s="10" t="s">
        <v>2046</v>
      </c>
      <c r="F245" s="23" t="s">
        <v>1210</v>
      </c>
      <c r="G245" s="23">
        <v>1.35</v>
      </c>
    </row>
    <row r="246" s="21" customFormat="1" ht="21.5" customHeight="1" spans="1:7">
      <c r="A246" s="3" t="s">
        <v>2023</v>
      </c>
      <c r="B246" s="3">
        <v>2105</v>
      </c>
      <c r="C246" s="3" t="s">
        <v>2024</v>
      </c>
      <c r="D246" s="22" t="s">
        <v>2024</v>
      </c>
      <c r="E246" s="10" t="s">
        <v>2025</v>
      </c>
      <c r="F246" s="23" t="s">
        <v>1210</v>
      </c>
      <c r="G246" s="23">
        <v>1.5</v>
      </c>
    </row>
    <row r="247" s="21" customFormat="1" ht="21.5" customHeight="1" spans="1:7">
      <c r="A247" s="3"/>
      <c r="B247" s="3"/>
      <c r="C247" s="3"/>
      <c r="D247" s="22"/>
      <c r="E247" s="10"/>
      <c r="F247" s="23"/>
      <c r="G247" s="23"/>
    </row>
    <row r="248" s="21" customFormat="1" ht="21.5" customHeight="1" spans="1:7">
      <c r="A248" s="36"/>
      <c r="B248" s="36"/>
      <c r="C248" s="36"/>
      <c r="D248" s="25" t="s">
        <v>34</v>
      </c>
      <c r="E248" s="37"/>
      <c r="F248" s="38"/>
      <c r="G248" s="38"/>
    </row>
    <row r="249" s="21" customFormat="1" ht="21.5" customHeight="1" spans="1:7">
      <c r="A249" s="6"/>
      <c r="B249" s="6"/>
      <c r="C249" s="6"/>
      <c r="D249" s="7" t="s">
        <v>2198</v>
      </c>
      <c r="E249" s="10"/>
      <c r="F249" s="11"/>
      <c r="G249" s="11"/>
    </row>
    <row r="250" s="21" customFormat="1" ht="36" customHeight="1" spans="1:7">
      <c r="A250" s="3">
        <v>1</v>
      </c>
      <c r="B250" s="3"/>
      <c r="C250" s="3"/>
      <c r="D250" s="22" t="s">
        <v>2199</v>
      </c>
      <c r="E250" s="22"/>
      <c r="F250" s="23"/>
      <c r="G250" s="23"/>
    </row>
    <row r="251" s="21" customFormat="1" ht="21.5" customHeight="1" spans="1:7">
      <c r="A251" s="3"/>
      <c r="B251" s="3">
        <v>2108</v>
      </c>
      <c r="C251" s="15"/>
      <c r="D251" s="22" t="s">
        <v>2200</v>
      </c>
      <c r="E251" s="22"/>
      <c r="F251" s="23" t="s">
        <v>23</v>
      </c>
      <c r="G251" s="23">
        <v>1</v>
      </c>
    </row>
    <row r="252" s="21" customFormat="1" ht="21.5" customHeight="1" spans="1:7">
      <c r="A252" s="3"/>
      <c r="B252" s="3">
        <v>2108</v>
      </c>
      <c r="C252" s="3"/>
      <c r="D252" s="24" t="s">
        <v>2201</v>
      </c>
      <c r="E252" s="22"/>
      <c r="F252" s="23" t="s">
        <v>23</v>
      </c>
      <c r="G252" s="23">
        <v>1</v>
      </c>
    </row>
    <row r="253" s="21" customFormat="1" ht="21.5" customHeight="1" spans="1:7">
      <c r="A253" s="3"/>
      <c r="B253" s="3">
        <v>2108</v>
      </c>
      <c r="C253" s="3"/>
      <c r="D253" s="22" t="s">
        <v>2202</v>
      </c>
      <c r="E253" s="22"/>
      <c r="F253" s="23" t="s">
        <v>23</v>
      </c>
      <c r="G253" s="23">
        <v>1</v>
      </c>
    </row>
    <row r="254" s="21" customFormat="1" ht="21.5" customHeight="1" spans="1:7">
      <c r="A254" s="3"/>
      <c r="B254" s="3">
        <v>2108</v>
      </c>
      <c r="C254" s="3"/>
      <c r="D254" s="22" t="s">
        <v>2203</v>
      </c>
      <c r="E254" s="22"/>
      <c r="F254" s="23" t="s">
        <v>23</v>
      </c>
      <c r="G254" s="23">
        <v>1</v>
      </c>
    </row>
    <row r="255" s="21" customFormat="1" ht="21.5" customHeight="1" spans="1:7">
      <c r="A255" s="3"/>
      <c r="B255" s="3">
        <v>2108</v>
      </c>
      <c r="C255" s="3"/>
      <c r="D255" s="22" t="s">
        <v>2204</v>
      </c>
      <c r="E255" s="22"/>
      <c r="F255" s="23" t="s">
        <v>23</v>
      </c>
      <c r="G255" s="23">
        <v>1</v>
      </c>
    </row>
    <row r="256" s="21" customFormat="1" ht="21.5" customHeight="1" spans="1:7">
      <c r="A256" s="3">
        <v>2</v>
      </c>
      <c r="B256" s="3">
        <v>2108</v>
      </c>
      <c r="C256" s="3"/>
      <c r="D256" s="22" t="s">
        <v>2205</v>
      </c>
      <c r="E256" s="22"/>
      <c r="F256" s="23"/>
      <c r="G256" s="23"/>
    </row>
    <row r="257" s="21" customFormat="1" ht="21.5" customHeight="1" spans="1:7">
      <c r="A257" s="3"/>
      <c r="B257" s="3">
        <v>2108</v>
      </c>
      <c r="C257" s="3"/>
      <c r="D257" s="22" t="s">
        <v>2206</v>
      </c>
      <c r="E257" s="22" t="s">
        <v>2207</v>
      </c>
      <c r="F257" s="23" t="s">
        <v>1895</v>
      </c>
      <c r="G257" s="23">
        <v>1</v>
      </c>
    </row>
    <row r="258" s="21" customFormat="1" ht="21.5" customHeight="1" spans="1:7">
      <c r="A258" s="3"/>
      <c r="B258" s="3">
        <v>2108</v>
      </c>
      <c r="C258" s="3"/>
      <c r="D258" s="22" t="s">
        <v>2208</v>
      </c>
      <c r="E258" s="22" t="s">
        <v>2209</v>
      </c>
      <c r="F258" s="23" t="s">
        <v>1895</v>
      </c>
      <c r="G258" s="23">
        <v>1</v>
      </c>
    </row>
    <row r="259" s="21" customFormat="1" ht="21.5" customHeight="1" spans="1:7">
      <c r="A259" s="3"/>
      <c r="B259" s="3">
        <v>2108</v>
      </c>
      <c r="C259" s="3"/>
      <c r="D259" s="22" t="s">
        <v>2210</v>
      </c>
      <c r="E259" s="22" t="s">
        <v>2211</v>
      </c>
      <c r="F259" s="23" t="s">
        <v>1895</v>
      </c>
      <c r="G259" s="23">
        <v>1</v>
      </c>
    </row>
    <row r="260" s="21" customFormat="1" ht="21.5" customHeight="1" spans="1:7">
      <c r="A260" s="6"/>
      <c r="B260" s="3">
        <v>2108</v>
      </c>
      <c r="C260" s="6"/>
      <c r="D260" s="22" t="s">
        <v>2212</v>
      </c>
      <c r="E260" s="22"/>
      <c r="F260" s="23" t="s">
        <v>1895</v>
      </c>
      <c r="G260" s="23">
        <v>1</v>
      </c>
    </row>
    <row r="261" s="21" customFormat="1" ht="42" customHeight="1" spans="1:7">
      <c r="A261" s="3"/>
      <c r="B261" s="3">
        <v>2108</v>
      </c>
      <c r="C261" s="3"/>
      <c r="D261" s="22" t="s">
        <v>2213</v>
      </c>
      <c r="E261" s="22" t="s">
        <v>2214</v>
      </c>
      <c r="F261" s="23" t="s">
        <v>12</v>
      </c>
      <c r="G261" s="23">
        <v>1</v>
      </c>
    </row>
    <row r="262" s="21" customFormat="1" ht="21.5" customHeight="1" spans="1:7">
      <c r="A262" s="3"/>
      <c r="B262" s="3">
        <v>2108</v>
      </c>
      <c r="C262" s="15"/>
      <c r="D262" s="22" t="s">
        <v>2215</v>
      </c>
      <c r="E262" s="22" t="s">
        <v>2216</v>
      </c>
      <c r="F262" s="23" t="s">
        <v>23</v>
      </c>
      <c r="G262" s="23">
        <v>1</v>
      </c>
    </row>
    <row r="263" s="21" customFormat="1" ht="21.5" customHeight="1" spans="1:7">
      <c r="A263" s="3"/>
      <c r="B263" s="3">
        <v>2108</v>
      </c>
      <c r="C263" s="3"/>
      <c r="D263" s="22" t="s">
        <v>2217</v>
      </c>
      <c r="E263" s="22" t="s">
        <v>2218</v>
      </c>
      <c r="F263" s="23" t="s">
        <v>23</v>
      </c>
      <c r="G263" s="23">
        <v>1</v>
      </c>
    </row>
    <row r="264" s="21" customFormat="1" ht="21.5" customHeight="1" spans="1:7">
      <c r="A264" s="3"/>
      <c r="B264" s="3">
        <v>2108</v>
      </c>
      <c r="C264" s="3"/>
      <c r="D264" s="22" t="s">
        <v>2219</v>
      </c>
      <c r="E264" s="22" t="s">
        <v>2220</v>
      </c>
      <c r="F264" s="23" t="s">
        <v>23</v>
      </c>
      <c r="G264" s="23">
        <v>1</v>
      </c>
    </row>
    <row r="265" s="21" customFormat="1" ht="21.5" customHeight="1" spans="1:7">
      <c r="A265" s="3">
        <v>3</v>
      </c>
      <c r="B265" s="3">
        <v>2108</v>
      </c>
      <c r="C265" s="3"/>
      <c r="D265" s="22" t="s">
        <v>2221</v>
      </c>
      <c r="E265" s="22"/>
      <c r="F265" s="23"/>
      <c r="G265" s="23"/>
    </row>
    <row r="266" s="21" customFormat="1" ht="21.5" customHeight="1" spans="1:7">
      <c r="A266" s="3" t="s">
        <v>1975</v>
      </c>
      <c r="B266" s="3">
        <v>2108</v>
      </c>
      <c r="C266" s="3"/>
      <c r="D266" s="22" t="s">
        <v>2072</v>
      </c>
      <c r="E266" s="22" t="s">
        <v>2222</v>
      </c>
      <c r="F266" s="23" t="s">
        <v>23</v>
      </c>
      <c r="G266" s="23">
        <v>1</v>
      </c>
    </row>
    <row r="267" s="21" customFormat="1" ht="21.5" customHeight="1" spans="1:7">
      <c r="A267" s="3" t="s">
        <v>1982</v>
      </c>
      <c r="B267" s="3">
        <v>2108</v>
      </c>
      <c r="C267" s="3"/>
      <c r="D267" s="22" t="s">
        <v>2223</v>
      </c>
      <c r="E267" s="22" t="s">
        <v>2224</v>
      </c>
      <c r="F267" s="23" t="s">
        <v>23</v>
      </c>
      <c r="G267" s="23"/>
    </row>
    <row r="268" s="21" customFormat="1" ht="21.5" customHeight="1" spans="1:7">
      <c r="A268" s="3"/>
      <c r="B268" s="3">
        <v>2108</v>
      </c>
      <c r="C268" s="3"/>
      <c r="D268" s="22"/>
      <c r="E268" s="10" t="s">
        <v>2225</v>
      </c>
      <c r="F268" s="23" t="s">
        <v>12</v>
      </c>
      <c r="G268" s="23">
        <v>2</v>
      </c>
    </row>
    <row r="269" s="21" customFormat="1" ht="21.5" customHeight="1" spans="1:7">
      <c r="A269" s="3"/>
      <c r="B269" s="3">
        <v>2108</v>
      </c>
      <c r="C269" s="3"/>
      <c r="D269" s="22"/>
      <c r="E269" s="10" t="s">
        <v>2226</v>
      </c>
      <c r="F269" s="23" t="s">
        <v>12</v>
      </c>
      <c r="G269" s="23">
        <v>18</v>
      </c>
    </row>
    <row r="270" s="21" customFormat="1" ht="21.5" customHeight="1" spans="1:7">
      <c r="A270" s="3"/>
      <c r="B270" s="3">
        <v>2108</v>
      </c>
      <c r="C270" s="3"/>
      <c r="D270" s="22"/>
      <c r="E270" s="10" t="s">
        <v>2227</v>
      </c>
      <c r="F270" s="23" t="s">
        <v>12</v>
      </c>
      <c r="G270" s="23">
        <v>2</v>
      </c>
    </row>
    <row r="271" s="21" customFormat="1" ht="21.5" customHeight="1" spans="1:7">
      <c r="A271" s="3"/>
      <c r="B271" s="3">
        <v>2108</v>
      </c>
      <c r="C271" s="3"/>
      <c r="D271" s="22"/>
      <c r="E271" s="10" t="s">
        <v>2228</v>
      </c>
      <c r="F271" s="23" t="s">
        <v>12</v>
      </c>
      <c r="G271" s="23">
        <v>2</v>
      </c>
    </row>
    <row r="272" s="21" customFormat="1" ht="21.5" customHeight="1" spans="1:7">
      <c r="A272" s="3"/>
      <c r="B272" s="3">
        <v>2108</v>
      </c>
      <c r="C272" s="3"/>
      <c r="D272" s="22"/>
      <c r="E272" s="10" t="s">
        <v>2229</v>
      </c>
      <c r="F272" s="23" t="s">
        <v>12</v>
      </c>
      <c r="G272" s="23">
        <v>1</v>
      </c>
    </row>
    <row r="273" s="21" customFormat="1" ht="21.5" customHeight="1" spans="1:7">
      <c r="A273" s="3" t="s">
        <v>1985</v>
      </c>
      <c r="B273" s="3">
        <v>2108</v>
      </c>
      <c r="C273" s="3"/>
      <c r="D273" s="22" t="s">
        <v>2230</v>
      </c>
      <c r="E273" s="10"/>
      <c r="F273" s="23"/>
      <c r="G273" s="23"/>
    </row>
    <row r="274" s="21" customFormat="1" ht="21.5" customHeight="1" spans="1:7">
      <c r="A274" s="3"/>
      <c r="B274" s="3">
        <v>2108</v>
      </c>
      <c r="C274" s="3"/>
      <c r="D274" s="22" t="s">
        <v>1900</v>
      </c>
      <c r="E274" s="10" t="s">
        <v>2231</v>
      </c>
      <c r="F274" s="23" t="s">
        <v>23</v>
      </c>
      <c r="G274" s="23">
        <v>1</v>
      </c>
    </row>
    <row r="275" s="21" customFormat="1" ht="21.5" customHeight="1" spans="1:7">
      <c r="A275" s="3"/>
      <c r="B275" s="3">
        <v>2108</v>
      </c>
      <c r="C275" s="3"/>
      <c r="D275" s="22" t="s">
        <v>2232</v>
      </c>
      <c r="E275" s="10" t="s">
        <v>2233</v>
      </c>
      <c r="F275" s="23" t="s">
        <v>23</v>
      </c>
      <c r="G275" s="23">
        <v>1</v>
      </c>
    </row>
    <row r="276" s="21" customFormat="1" ht="21.5" customHeight="1" spans="1:7">
      <c r="A276" s="3"/>
      <c r="B276" s="3">
        <v>2108</v>
      </c>
      <c r="C276" s="3"/>
      <c r="D276" s="22" t="s">
        <v>1902</v>
      </c>
      <c r="E276" s="10" t="s">
        <v>2234</v>
      </c>
      <c r="F276" s="23" t="s">
        <v>23</v>
      </c>
      <c r="G276" s="23">
        <v>1</v>
      </c>
    </row>
    <row r="277" s="21" customFormat="1" ht="21.5" customHeight="1" spans="1:7">
      <c r="A277" s="3"/>
      <c r="B277" s="3">
        <v>2108</v>
      </c>
      <c r="C277" s="3"/>
      <c r="D277" s="22" t="s">
        <v>1898</v>
      </c>
      <c r="E277" s="10" t="s">
        <v>2235</v>
      </c>
      <c r="F277" s="23" t="s">
        <v>23</v>
      </c>
      <c r="G277" s="23">
        <v>1</v>
      </c>
    </row>
    <row r="278" s="21" customFormat="1" ht="21.5" customHeight="1" spans="1:7">
      <c r="A278" s="3"/>
      <c r="B278" s="3">
        <v>2108</v>
      </c>
      <c r="C278" s="3"/>
      <c r="D278" s="22" t="s">
        <v>2236</v>
      </c>
      <c r="E278" s="10" t="s">
        <v>2237</v>
      </c>
      <c r="F278" s="23" t="s">
        <v>23</v>
      </c>
      <c r="G278" s="23">
        <v>1</v>
      </c>
    </row>
    <row r="279" s="21" customFormat="1" ht="21.5" customHeight="1" spans="1:7">
      <c r="A279" s="3"/>
      <c r="B279" s="3">
        <v>2108</v>
      </c>
      <c r="C279" s="3"/>
      <c r="D279" s="22" t="s">
        <v>2238</v>
      </c>
      <c r="E279" s="10" t="s">
        <v>2235</v>
      </c>
      <c r="F279" s="23" t="s">
        <v>23</v>
      </c>
      <c r="G279" s="23">
        <v>1</v>
      </c>
    </row>
    <row r="280" s="21" customFormat="1" ht="21.5" customHeight="1" spans="1:7">
      <c r="A280" s="3"/>
      <c r="B280" s="3">
        <v>2108</v>
      </c>
      <c r="C280" s="3"/>
      <c r="D280" s="22" t="s">
        <v>2239</v>
      </c>
      <c r="E280" s="10" t="s">
        <v>2240</v>
      </c>
      <c r="F280" s="23" t="s">
        <v>26</v>
      </c>
      <c r="G280" s="23">
        <v>1</v>
      </c>
    </row>
    <row r="281" s="21" customFormat="1" ht="21.5" customHeight="1" spans="1:7">
      <c r="A281" s="3" t="s">
        <v>1990</v>
      </c>
      <c r="B281" s="3">
        <v>2108</v>
      </c>
      <c r="C281" s="3"/>
      <c r="D281" s="22" t="s">
        <v>2241</v>
      </c>
      <c r="E281" s="10" t="s">
        <v>2242</v>
      </c>
      <c r="F281" s="23" t="s">
        <v>23</v>
      </c>
      <c r="G281" s="23">
        <v>1</v>
      </c>
    </row>
    <row r="282" s="21" customFormat="1" ht="21.5" customHeight="1" spans="1:7">
      <c r="A282" s="3" t="s">
        <v>2023</v>
      </c>
      <c r="B282" s="3">
        <v>2108</v>
      </c>
      <c r="C282" s="3"/>
      <c r="D282" s="22" t="s">
        <v>2243</v>
      </c>
      <c r="E282" s="10" t="s">
        <v>2244</v>
      </c>
      <c r="F282" s="23" t="s">
        <v>23</v>
      </c>
      <c r="G282" s="23">
        <v>1</v>
      </c>
    </row>
    <row r="283" s="21" customFormat="1" ht="21.5" customHeight="1" spans="1:7">
      <c r="A283" s="3">
        <v>4</v>
      </c>
      <c r="B283" s="3">
        <v>2108</v>
      </c>
      <c r="C283" s="3"/>
      <c r="D283" s="22" t="s">
        <v>2245</v>
      </c>
      <c r="E283" s="10"/>
      <c r="F283" s="23"/>
      <c r="G283" s="23"/>
    </row>
    <row r="284" s="21" customFormat="1" ht="21.5" customHeight="1" spans="1:7">
      <c r="A284" s="3" t="s">
        <v>2246</v>
      </c>
      <c r="B284" s="3">
        <v>2108</v>
      </c>
      <c r="C284" s="3"/>
      <c r="D284" s="22" t="s">
        <v>2247</v>
      </c>
      <c r="E284" s="10" t="s">
        <v>2248</v>
      </c>
      <c r="F284" s="23"/>
      <c r="G284" s="23"/>
    </row>
    <row r="285" s="21" customFormat="1" ht="21.5" customHeight="1" spans="1:7">
      <c r="A285" s="3"/>
      <c r="B285" s="3">
        <v>2108</v>
      </c>
      <c r="C285" s="3"/>
      <c r="D285" s="22" t="s">
        <v>2249</v>
      </c>
      <c r="E285" s="10" t="s">
        <v>2250</v>
      </c>
      <c r="F285" s="23" t="s">
        <v>23</v>
      </c>
      <c r="G285" s="23">
        <v>1</v>
      </c>
    </row>
    <row r="286" s="21" customFormat="1" ht="21.5" customHeight="1" spans="1:7">
      <c r="A286" s="3"/>
      <c r="B286" s="3">
        <v>2108</v>
      </c>
      <c r="C286" s="3"/>
      <c r="D286" s="22" t="s">
        <v>2251</v>
      </c>
      <c r="E286" s="10" t="s">
        <v>2252</v>
      </c>
      <c r="F286" s="23" t="s">
        <v>23</v>
      </c>
      <c r="G286" s="23">
        <v>1</v>
      </c>
    </row>
    <row r="287" s="21" customFormat="1" ht="21.5" customHeight="1" spans="1:7">
      <c r="A287" s="3"/>
      <c r="B287" s="3">
        <v>2108</v>
      </c>
      <c r="C287" s="3"/>
      <c r="D287" s="22" t="s">
        <v>2253</v>
      </c>
      <c r="E287" s="10" t="s">
        <v>2254</v>
      </c>
      <c r="F287" s="23" t="s">
        <v>23</v>
      </c>
      <c r="G287" s="23">
        <v>1</v>
      </c>
    </row>
    <row r="288" s="21" customFormat="1" ht="21.5" customHeight="1" spans="1:7">
      <c r="A288" s="3"/>
      <c r="B288" s="3">
        <v>2108</v>
      </c>
      <c r="C288" s="3"/>
      <c r="D288" s="22" t="s">
        <v>2255</v>
      </c>
      <c r="E288" s="10" t="s">
        <v>2256</v>
      </c>
      <c r="F288" s="23" t="s">
        <v>23</v>
      </c>
      <c r="G288" s="23">
        <v>2</v>
      </c>
    </row>
    <row r="289" s="21" customFormat="1" ht="21.5" customHeight="1" spans="1:7">
      <c r="A289" s="3"/>
      <c r="B289" s="3">
        <v>2108</v>
      </c>
      <c r="C289" s="3"/>
      <c r="D289" s="22" t="s">
        <v>2257</v>
      </c>
      <c r="E289" s="10" t="s">
        <v>2256</v>
      </c>
      <c r="F289" s="23" t="s">
        <v>23</v>
      </c>
      <c r="G289" s="23">
        <v>2</v>
      </c>
    </row>
    <row r="290" s="21" customFormat="1" ht="21.5" customHeight="1" spans="1:7">
      <c r="A290" s="3" t="s">
        <v>1982</v>
      </c>
      <c r="B290" s="3">
        <v>2108</v>
      </c>
      <c r="C290" s="3"/>
      <c r="D290" s="22" t="s">
        <v>2258</v>
      </c>
      <c r="E290" s="10" t="s">
        <v>2259</v>
      </c>
      <c r="F290" s="23"/>
      <c r="G290" s="23"/>
    </row>
    <row r="291" s="21" customFormat="1" ht="21.5" customHeight="1" spans="1:7">
      <c r="A291" s="3"/>
      <c r="B291" s="3">
        <v>2108</v>
      </c>
      <c r="C291" s="3"/>
      <c r="D291" s="22" t="s">
        <v>2260</v>
      </c>
      <c r="E291" s="10" t="s">
        <v>2261</v>
      </c>
      <c r="F291" s="23" t="s">
        <v>23</v>
      </c>
      <c r="G291" s="23">
        <v>1</v>
      </c>
    </row>
    <row r="292" s="21" customFormat="1" ht="21.5" customHeight="1" spans="1:7">
      <c r="A292" s="3"/>
      <c r="B292" s="3">
        <v>2108</v>
      </c>
      <c r="C292" s="3"/>
      <c r="D292" s="22" t="s">
        <v>2262</v>
      </c>
      <c r="E292" s="10" t="s">
        <v>2263</v>
      </c>
      <c r="F292" s="23" t="s">
        <v>23</v>
      </c>
      <c r="G292" s="23">
        <v>1</v>
      </c>
    </row>
    <row r="293" s="21" customFormat="1" ht="21.5" customHeight="1" spans="1:7">
      <c r="A293" s="3" t="s">
        <v>1985</v>
      </c>
      <c r="B293" s="3">
        <v>2108</v>
      </c>
      <c r="C293" s="3"/>
      <c r="D293" s="22" t="s">
        <v>2264</v>
      </c>
      <c r="E293" s="10" t="s">
        <v>2265</v>
      </c>
      <c r="F293" s="23" t="s">
        <v>23</v>
      </c>
      <c r="G293" s="23">
        <v>1</v>
      </c>
    </row>
    <row r="294" s="21" customFormat="1" ht="21.5" customHeight="1" spans="1:7">
      <c r="A294" s="3" t="s">
        <v>1990</v>
      </c>
      <c r="B294" s="3">
        <v>2108</v>
      </c>
      <c r="C294" s="3"/>
      <c r="D294" s="22" t="s">
        <v>2266</v>
      </c>
      <c r="E294" s="10"/>
      <c r="F294" s="23" t="s">
        <v>23</v>
      </c>
      <c r="G294" s="23">
        <v>1</v>
      </c>
    </row>
    <row r="295" s="21" customFormat="1" ht="21.5" customHeight="1" spans="1:7">
      <c r="A295" s="3" t="s">
        <v>2023</v>
      </c>
      <c r="B295" s="3">
        <v>2108</v>
      </c>
      <c r="C295" s="3"/>
      <c r="D295" s="22" t="s">
        <v>2267</v>
      </c>
      <c r="E295" s="10" t="s">
        <v>2268</v>
      </c>
      <c r="F295" s="23" t="s">
        <v>23</v>
      </c>
      <c r="G295" s="23">
        <v>2</v>
      </c>
    </row>
    <row r="296" s="21" customFormat="1" ht="21.5" customHeight="1" spans="1:7">
      <c r="A296" s="3" t="s">
        <v>2026</v>
      </c>
      <c r="B296" s="3">
        <v>2108</v>
      </c>
      <c r="C296" s="3"/>
      <c r="D296" s="22" t="s">
        <v>2269</v>
      </c>
      <c r="E296" s="10" t="s">
        <v>2270</v>
      </c>
      <c r="F296" s="23" t="s">
        <v>23</v>
      </c>
      <c r="G296" s="23">
        <v>1</v>
      </c>
    </row>
    <row r="297" s="21" customFormat="1" ht="21.5" customHeight="1" spans="1:7">
      <c r="A297" s="3"/>
      <c r="B297" s="3">
        <v>2108</v>
      </c>
      <c r="C297" s="3"/>
      <c r="D297" s="22"/>
      <c r="E297" s="10" t="s">
        <v>2271</v>
      </c>
      <c r="F297" s="23" t="s">
        <v>23</v>
      </c>
      <c r="G297" s="23">
        <v>1</v>
      </c>
    </row>
    <row r="298" s="21" customFormat="1" ht="21.5" customHeight="1" spans="1:7">
      <c r="A298" s="3"/>
      <c r="B298" s="3">
        <v>2108</v>
      </c>
      <c r="C298" s="3"/>
      <c r="D298" s="22"/>
      <c r="E298" s="10" t="s">
        <v>2272</v>
      </c>
      <c r="F298" s="23" t="s">
        <v>23</v>
      </c>
      <c r="G298" s="23">
        <v>1</v>
      </c>
    </row>
    <row r="299" s="21" customFormat="1" ht="21.5" customHeight="1" spans="1:7">
      <c r="A299" s="3"/>
      <c r="B299" s="3">
        <v>2108</v>
      </c>
      <c r="C299" s="3"/>
      <c r="D299" s="22" t="s">
        <v>2273</v>
      </c>
      <c r="E299" s="10"/>
      <c r="F299" s="23"/>
      <c r="G299" s="23"/>
    </row>
    <row r="300" s="21" customFormat="1" ht="21.5" customHeight="1" spans="1:7">
      <c r="A300" s="3"/>
      <c r="B300" s="3">
        <v>2108</v>
      </c>
      <c r="C300" s="3" t="s">
        <v>1843</v>
      </c>
      <c r="D300" s="22" t="s">
        <v>1834</v>
      </c>
      <c r="E300" s="10" t="s">
        <v>2274</v>
      </c>
      <c r="F300" s="23"/>
      <c r="G300" s="23"/>
    </row>
    <row r="301" s="21" customFormat="1" ht="21.5" customHeight="1" spans="1:7">
      <c r="A301" s="3"/>
      <c r="B301" s="3">
        <v>2108</v>
      </c>
      <c r="C301" s="3" t="s">
        <v>1843</v>
      </c>
      <c r="D301" s="22"/>
      <c r="E301" s="10" t="s">
        <v>2275</v>
      </c>
      <c r="F301" s="23" t="s">
        <v>826</v>
      </c>
      <c r="G301" s="23">
        <v>90</v>
      </c>
    </row>
    <row r="302" s="21" customFormat="1" ht="21.5" customHeight="1" spans="1:7">
      <c r="A302" s="3"/>
      <c r="B302" s="3">
        <v>2108</v>
      </c>
      <c r="C302" s="3" t="s">
        <v>1843</v>
      </c>
      <c r="D302" s="22"/>
      <c r="E302" s="10" t="s">
        <v>2276</v>
      </c>
      <c r="F302" s="23" t="s">
        <v>826</v>
      </c>
      <c r="G302" s="23">
        <v>500</v>
      </c>
    </row>
    <row r="303" s="21" customFormat="1" ht="21.5" customHeight="1" spans="1:7">
      <c r="A303" s="3"/>
      <c r="B303" s="3">
        <v>2108</v>
      </c>
      <c r="C303" s="3" t="s">
        <v>1843</v>
      </c>
      <c r="D303" s="22"/>
      <c r="E303" s="10" t="s">
        <v>2277</v>
      </c>
      <c r="F303" s="23" t="s">
        <v>826</v>
      </c>
      <c r="G303" s="23">
        <v>900</v>
      </c>
    </row>
    <row r="304" s="21" customFormat="1" ht="21.5" customHeight="1" spans="1:7">
      <c r="A304" s="3"/>
      <c r="B304" s="3">
        <v>2108</v>
      </c>
      <c r="C304" s="3" t="s">
        <v>1843</v>
      </c>
      <c r="D304" s="22"/>
      <c r="E304" s="10" t="s">
        <v>2278</v>
      </c>
      <c r="F304" s="23" t="s">
        <v>826</v>
      </c>
      <c r="G304" s="23">
        <v>180</v>
      </c>
    </row>
    <row r="305" s="21" customFormat="1" ht="21.5" customHeight="1" spans="1:7">
      <c r="A305" s="3"/>
      <c r="B305" s="3">
        <v>2108</v>
      </c>
      <c r="C305" s="3" t="s">
        <v>1843</v>
      </c>
      <c r="D305" s="22"/>
      <c r="E305" s="10" t="s">
        <v>2279</v>
      </c>
      <c r="F305" s="23" t="s">
        <v>826</v>
      </c>
      <c r="G305" s="23">
        <v>1200</v>
      </c>
    </row>
    <row r="306" s="21" customFormat="1" ht="21.5" customHeight="1" spans="1:7">
      <c r="A306" s="3"/>
      <c r="B306" s="3">
        <v>2108</v>
      </c>
      <c r="C306" s="3" t="s">
        <v>1843</v>
      </c>
      <c r="D306" s="22"/>
      <c r="E306" s="10" t="s">
        <v>2280</v>
      </c>
      <c r="F306" s="23" t="s">
        <v>826</v>
      </c>
      <c r="G306" s="23">
        <v>1400</v>
      </c>
    </row>
    <row r="307" s="21" customFormat="1" ht="21.5" customHeight="1" spans="1:7">
      <c r="A307" s="3"/>
      <c r="B307" s="3">
        <v>2108</v>
      </c>
      <c r="C307" s="3" t="s">
        <v>1843</v>
      </c>
      <c r="D307" s="22"/>
      <c r="E307" s="10" t="s">
        <v>2281</v>
      </c>
      <c r="F307" s="23" t="s">
        <v>826</v>
      </c>
      <c r="G307" s="23">
        <v>120</v>
      </c>
    </row>
    <row r="308" s="21" customFormat="1" ht="21.5" customHeight="1" spans="1:7">
      <c r="A308" s="3"/>
      <c r="B308" s="3">
        <v>2108</v>
      </c>
      <c r="C308" s="3"/>
      <c r="D308" s="22" t="s">
        <v>2282</v>
      </c>
      <c r="E308" s="10" t="s">
        <v>2283</v>
      </c>
      <c r="F308" s="23"/>
      <c r="G308" s="23"/>
    </row>
    <row r="309" s="21" customFormat="1" ht="21.5" customHeight="1" spans="1:7">
      <c r="A309" s="3"/>
      <c r="B309" s="3">
        <v>2108</v>
      </c>
      <c r="C309" s="3" t="s">
        <v>1843</v>
      </c>
      <c r="D309" s="22"/>
      <c r="E309" s="10" t="s">
        <v>2280</v>
      </c>
      <c r="F309" s="23" t="s">
        <v>826</v>
      </c>
      <c r="G309" s="23">
        <v>300</v>
      </c>
    </row>
    <row r="310" s="21" customFormat="1" ht="21.5" customHeight="1" spans="1:7">
      <c r="A310" s="3"/>
      <c r="B310" s="3">
        <v>2108</v>
      </c>
      <c r="C310" s="3" t="s">
        <v>1843</v>
      </c>
      <c r="D310" s="22" t="s">
        <v>2102</v>
      </c>
      <c r="E310" s="10" t="s">
        <v>2284</v>
      </c>
      <c r="F310" s="23"/>
      <c r="G310" s="23"/>
    </row>
    <row r="311" s="21" customFormat="1" ht="21.5" customHeight="1" spans="1:7">
      <c r="A311" s="3"/>
      <c r="B311" s="3">
        <v>2108</v>
      </c>
      <c r="C311" s="3" t="s">
        <v>1843</v>
      </c>
      <c r="D311" s="22"/>
      <c r="E311" s="10" t="s">
        <v>2285</v>
      </c>
      <c r="F311" s="23" t="s">
        <v>826</v>
      </c>
      <c r="G311" s="23">
        <v>210</v>
      </c>
    </row>
    <row r="312" s="21" customFormat="1" ht="21.5" customHeight="1" spans="1:7">
      <c r="A312" s="3"/>
      <c r="B312" s="3">
        <v>2108</v>
      </c>
      <c r="C312" s="3" t="s">
        <v>1843</v>
      </c>
      <c r="D312" s="22"/>
      <c r="E312" s="10" t="s">
        <v>2286</v>
      </c>
      <c r="F312" s="23" t="s">
        <v>826</v>
      </c>
      <c r="G312" s="23">
        <v>3200</v>
      </c>
    </row>
    <row r="313" s="21" customFormat="1" ht="21.5" customHeight="1" spans="1:7">
      <c r="A313" s="3"/>
      <c r="B313" s="3">
        <v>2108</v>
      </c>
      <c r="C313" s="3" t="s">
        <v>1847</v>
      </c>
      <c r="D313" s="22" t="s">
        <v>1847</v>
      </c>
      <c r="E313" s="10" t="s">
        <v>2287</v>
      </c>
      <c r="F313" s="23"/>
      <c r="G313" s="23"/>
    </row>
    <row r="314" s="21" customFormat="1" ht="21.5" customHeight="1" spans="1:7">
      <c r="A314" s="3"/>
      <c r="B314" s="3">
        <v>2108</v>
      </c>
      <c r="C314" s="3" t="s">
        <v>1847</v>
      </c>
      <c r="D314" s="22"/>
      <c r="E314" s="10" t="s">
        <v>2288</v>
      </c>
      <c r="F314" s="23" t="s">
        <v>826</v>
      </c>
      <c r="G314" s="23">
        <v>2100</v>
      </c>
    </row>
    <row r="315" s="21" customFormat="1" ht="21.5" customHeight="1" spans="1:7">
      <c r="A315" s="3"/>
      <c r="B315" s="3">
        <v>2108</v>
      </c>
      <c r="C315" s="3" t="s">
        <v>1847</v>
      </c>
      <c r="D315" s="22"/>
      <c r="E315" s="10" t="s">
        <v>2289</v>
      </c>
      <c r="F315" s="23" t="s">
        <v>826</v>
      </c>
      <c r="G315" s="23">
        <v>1300</v>
      </c>
    </row>
    <row r="316" s="21" customFormat="1" ht="21.5" customHeight="1" spans="1:7">
      <c r="A316" s="3"/>
      <c r="B316" s="3">
        <v>2108</v>
      </c>
      <c r="C316" s="3" t="s">
        <v>1847</v>
      </c>
      <c r="D316" s="22"/>
      <c r="E316" s="10" t="s">
        <v>2290</v>
      </c>
      <c r="F316" s="23" t="s">
        <v>826</v>
      </c>
      <c r="G316" s="23">
        <v>1800</v>
      </c>
    </row>
    <row r="317" s="21" customFormat="1" ht="21.5" customHeight="1" spans="1:7">
      <c r="A317" s="3"/>
      <c r="B317" s="3">
        <v>2108</v>
      </c>
      <c r="C317" s="3" t="s">
        <v>1847</v>
      </c>
      <c r="D317" s="22"/>
      <c r="E317" s="10" t="s">
        <v>2291</v>
      </c>
      <c r="F317" s="23" t="s">
        <v>826</v>
      </c>
      <c r="G317" s="23">
        <v>2800</v>
      </c>
    </row>
    <row r="318" s="21" customFormat="1" ht="21.5" customHeight="1" spans="1:7">
      <c r="A318" s="3"/>
      <c r="B318" s="3">
        <v>2108</v>
      </c>
      <c r="C318" s="3" t="s">
        <v>1847</v>
      </c>
      <c r="D318" s="22"/>
      <c r="E318" s="10" t="s">
        <v>2292</v>
      </c>
      <c r="F318" s="23" t="s">
        <v>826</v>
      </c>
      <c r="G318" s="23">
        <v>2100</v>
      </c>
    </row>
    <row r="319" s="21" customFormat="1" ht="21.5" customHeight="1" spans="1:7">
      <c r="A319" s="3"/>
      <c r="B319" s="3">
        <v>2108</v>
      </c>
      <c r="C319" s="3" t="s">
        <v>1847</v>
      </c>
      <c r="D319" s="22" t="s">
        <v>2293</v>
      </c>
      <c r="E319" s="10" t="s">
        <v>2294</v>
      </c>
      <c r="F319" s="23"/>
      <c r="G319" s="23"/>
    </row>
    <row r="320" s="21" customFormat="1" ht="21.5" customHeight="1" spans="1:7">
      <c r="A320" s="3"/>
      <c r="B320" s="3">
        <v>2108</v>
      </c>
      <c r="C320" s="3" t="s">
        <v>1847</v>
      </c>
      <c r="D320" s="22"/>
      <c r="E320" s="10" t="s">
        <v>2288</v>
      </c>
      <c r="F320" s="23" t="s">
        <v>826</v>
      </c>
      <c r="G320" s="23">
        <v>750</v>
      </c>
    </row>
    <row r="321" s="21" customFormat="1" ht="21.5" customHeight="1" spans="1:7">
      <c r="A321" s="3"/>
      <c r="B321" s="3">
        <v>2108</v>
      </c>
      <c r="C321" s="3" t="s">
        <v>1847</v>
      </c>
      <c r="D321" s="22"/>
      <c r="E321" s="10" t="s">
        <v>2289</v>
      </c>
      <c r="F321" s="23" t="s">
        <v>826</v>
      </c>
      <c r="G321" s="23">
        <v>3900</v>
      </c>
    </row>
    <row r="322" s="21" customFormat="1" ht="21.5" customHeight="1" spans="1:7">
      <c r="A322" s="3"/>
      <c r="B322" s="3">
        <v>2108</v>
      </c>
      <c r="C322" s="3" t="s">
        <v>1847</v>
      </c>
      <c r="D322" s="22"/>
      <c r="E322" s="10" t="s">
        <v>2295</v>
      </c>
      <c r="F322" s="23" t="s">
        <v>826</v>
      </c>
      <c r="G322" s="23">
        <v>600</v>
      </c>
    </row>
    <row r="323" s="21" customFormat="1" ht="21.5" customHeight="1" spans="1:7">
      <c r="A323" s="3"/>
      <c r="B323" s="3">
        <v>2108</v>
      </c>
      <c r="C323" s="3" t="s">
        <v>1847</v>
      </c>
      <c r="D323" s="22"/>
      <c r="E323" s="10" t="s">
        <v>2291</v>
      </c>
      <c r="F323" s="23" t="s">
        <v>826</v>
      </c>
      <c r="G323" s="23">
        <v>610</v>
      </c>
    </row>
    <row r="324" s="21" customFormat="1" ht="21.5" customHeight="1" spans="1:7">
      <c r="A324" s="3"/>
      <c r="B324" s="3">
        <v>2108</v>
      </c>
      <c r="C324" s="3" t="s">
        <v>1847</v>
      </c>
      <c r="D324" s="22"/>
      <c r="E324" s="10" t="s">
        <v>2292</v>
      </c>
      <c r="F324" s="23" t="s">
        <v>826</v>
      </c>
      <c r="G324" s="23">
        <v>960</v>
      </c>
    </row>
    <row r="325" s="21" customFormat="1" ht="21.5" customHeight="1" spans="1:7">
      <c r="A325" s="3"/>
      <c r="B325" s="3">
        <v>2108</v>
      </c>
      <c r="C325" s="3" t="s">
        <v>1847</v>
      </c>
      <c r="D325" s="22" t="s">
        <v>2296</v>
      </c>
      <c r="E325" s="10" t="s">
        <v>2297</v>
      </c>
      <c r="F325" s="23"/>
      <c r="G325" s="23"/>
    </row>
    <row r="326" s="21" customFormat="1" ht="21.5" customHeight="1" spans="1:7">
      <c r="A326" s="3"/>
      <c r="B326" s="3">
        <v>2108</v>
      </c>
      <c r="C326" s="3" t="s">
        <v>1847</v>
      </c>
      <c r="D326" s="22"/>
      <c r="E326" s="10" t="s">
        <v>2288</v>
      </c>
      <c r="F326" s="23" t="s">
        <v>826</v>
      </c>
      <c r="G326" s="23">
        <v>400</v>
      </c>
    </row>
    <row r="327" s="21" customFormat="1" ht="21.5" customHeight="1" spans="1:7">
      <c r="A327" s="3"/>
      <c r="B327" s="3">
        <v>2108</v>
      </c>
      <c r="C327" s="3" t="s">
        <v>1847</v>
      </c>
      <c r="D327" s="22"/>
      <c r="E327" s="10" t="s">
        <v>2298</v>
      </c>
      <c r="F327" s="23" t="s">
        <v>826</v>
      </c>
      <c r="G327" s="23">
        <v>800</v>
      </c>
    </row>
    <row r="328" s="21" customFormat="1" ht="21.5" customHeight="1" spans="1:7">
      <c r="A328" s="3"/>
      <c r="B328" s="3">
        <v>2108</v>
      </c>
      <c r="C328" s="3" t="s">
        <v>1948</v>
      </c>
      <c r="D328" s="22" t="s">
        <v>2299</v>
      </c>
      <c r="E328" s="10" t="s">
        <v>2300</v>
      </c>
      <c r="F328" s="23"/>
      <c r="G328" s="23"/>
    </row>
    <row r="329" s="21" customFormat="1" ht="21.5" customHeight="1" spans="1:7">
      <c r="A329" s="3"/>
      <c r="B329" s="3">
        <v>2108</v>
      </c>
      <c r="C329" s="3" t="s">
        <v>1948</v>
      </c>
      <c r="D329" s="22"/>
      <c r="E329" s="10" t="s">
        <v>2301</v>
      </c>
      <c r="F329" s="23" t="s">
        <v>826</v>
      </c>
      <c r="G329" s="23">
        <v>3900</v>
      </c>
    </row>
    <row r="330" s="21" customFormat="1" ht="21.5" customHeight="1" spans="1:7">
      <c r="A330" s="3"/>
      <c r="B330" s="3">
        <v>2108</v>
      </c>
      <c r="C330" s="3" t="s">
        <v>1948</v>
      </c>
      <c r="D330" s="22"/>
      <c r="E330" s="10" t="s">
        <v>2302</v>
      </c>
      <c r="F330" s="23" t="s">
        <v>826</v>
      </c>
      <c r="G330" s="23">
        <v>1600</v>
      </c>
    </row>
    <row r="331" s="21" customFormat="1" ht="21.5" customHeight="1" spans="1:7">
      <c r="A331" s="3"/>
      <c r="B331" s="3">
        <v>2108</v>
      </c>
      <c r="C331" s="3"/>
      <c r="D331" s="22"/>
      <c r="E331" s="10"/>
      <c r="F331" s="23"/>
      <c r="G331" s="23"/>
    </row>
    <row r="332" s="21" customFormat="1" ht="21.5" customHeight="1" spans="1:7">
      <c r="A332" s="3"/>
      <c r="B332" s="3">
        <v>2108</v>
      </c>
      <c r="C332" s="3"/>
      <c r="D332" s="22"/>
      <c r="E332" s="10"/>
      <c r="F332" s="23"/>
      <c r="G332" s="23"/>
    </row>
    <row r="333" s="21" customFormat="1" ht="21.5" customHeight="1" spans="1:7">
      <c r="A333" s="3"/>
      <c r="B333" s="3">
        <v>2108</v>
      </c>
      <c r="C333" s="3"/>
      <c r="D333" s="22" t="s">
        <v>2303</v>
      </c>
      <c r="E333" s="10"/>
      <c r="F333" s="23"/>
      <c r="G333" s="23"/>
    </row>
    <row r="334" s="21" customFormat="1" ht="21.5" customHeight="1" spans="1:7">
      <c r="A334" s="3"/>
      <c r="B334" s="3">
        <v>2108</v>
      </c>
      <c r="C334" s="3"/>
      <c r="D334" s="22" t="s">
        <v>2304</v>
      </c>
      <c r="E334" s="10" t="s">
        <v>2305</v>
      </c>
      <c r="F334" s="23" t="s">
        <v>826</v>
      </c>
      <c r="G334" s="23">
        <v>750</v>
      </c>
    </row>
    <row r="335" s="21" customFormat="1" ht="21.5" customHeight="1" spans="1:7">
      <c r="A335" s="3"/>
      <c r="B335" s="3">
        <v>2108</v>
      </c>
      <c r="C335" s="3"/>
      <c r="D335" s="22" t="s">
        <v>2306</v>
      </c>
      <c r="E335" s="10" t="s">
        <v>2307</v>
      </c>
      <c r="F335" s="23" t="s">
        <v>26</v>
      </c>
      <c r="G335" s="23">
        <v>80</v>
      </c>
    </row>
    <row r="336" s="21" customFormat="1" ht="21.5" customHeight="1" spans="1:7">
      <c r="A336" s="3"/>
      <c r="B336" s="3">
        <v>2108</v>
      </c>
      <c r="C336" s="3" t="s">
        <v>1833</v>
      </c>
      <c r="D336" s="22" t="s">
        <v>2308</v>
      </c>
      <c r="E336" s="10" t="s">
        <v>2309</v>
      </c>
      <c r="F336" s="23"/>
      <c r="G336" s="23"/>
    </row>
    <row r="337" s="21" customFormat="1" ht="21.5" customHeight="1" spans="1:7">
      <c r="A337" s="3"/>
      <c r="B337" s="3">
        <v>2108</v>
      </c>
      <c r="C337" s="3" t="s">
        <v>1833</v>
      </c>
      <c r="D337" s="22"/>
      <c r="E337" s="10" t="s">
        <v>2310</v>
      </c>
      <c r="F337" s="23" t="s">
        <v>826</v>
      </c>
      <c r="G337" s="23">
        <v>670</v>
      </c>
    </row>
    <row r="338" s="21" customFormat="1" ht="21.5" customHeight="1" spans="1:7">
      <c r="A338" s="3"/>
      <c r="B338" s="3">
        <v>2108</v>
      </c>
      <c r="C338" s="3"/>
      <c r="D338" s="22" t="s">
        <v>2311</v>
      </c>
      <c r="E338" s="10" t="s">
        <v>2312</v>
      </c>
      <c r="F338" s="23" t="s">
        <v>26</v>
      </c>
      <c r="G338" s="23">
        <v>15</v>
      </c>
    </row>
    <row r="339" s="21" customFormat="1" ht="21.5" customHeight="1" spans="1:7">
      <c r="A339" s="3"/>
      <c r="B339" s="3">
        <v>2108</v>
      </c>
      <c r="C339" s="3"/>
      <c r="D339" s="22" t="s">
        <v>2313</v>
      </c>
      <c r="E339" s="10"/>
      <c r="F339" s="23"/>
      <c r="G339" s="23"/>
    </row>
    <row r="340" s="21" customFormat="1" ht="21.5" customHeight="1" spans="1:7">
      <c r="A340" s="3"/>
      <c r="B340" s="3">
        <v>2108</v>
      </c>
      <c r="C340" s="3" t="s">
        <v>1970</v>
      </c>
      <c r="D340" s="22" t="s">
        <v>2314</v>
      </c>
      <c r="E340" s="10" t="s">
        <v>2315</v>
      </c>
      <c r="F340" s="23" t="s">
        <v>868</v>
      </c>
      <c r="G340" s="23">
        <v>5.25</v>
      </c>
    </row>
    <row r="341" s="21" customFormat="1" ht="21.5" customHeight="1" spans="1:7">
      <c r="A341" s="3"/>
      <c r="B341" s="3">
        <v>2108</v>
      </c>
      <c r="C341" s="3" t="s">
        <v>1970</v>
      </c>
      <c r="D341" s="22" t="s">
        <v>2314</v>
      </c>
      <c r="E341" s="10" t="s">
        <v>2316</v>
      </c>
      <c r="F341" s="23" t="s">
        <v>868</v>
      </c>
      <c r="G341" s="23">
        <v>8</v>
      </c>
    </row>
    <row r="342" s="21" customFormat="1" ht="21.5" customHeight="1" spans="1:7">
      <c r="A342" s="3"/>
      <c r="B342" s="3">
        <v>2108</v>
      </c>
      <c r="C342" s="3" t="s">
        <v>1970</v>
      </c>
      <c r="D342" s="22" t="s">
        <v>2314</v>
      </c>
      <c r="E342" s="10" t="s">
        <v>2317</v>
      </c>
      <c r="F342" s="23" t="s">
        <v>868</v>
      </c>
      <c r="G342" s="23">
        <v>5</v>
      </c>
    </row>
    <row r="343" s="21" customFormat="1" ht="21.5" customHeight="1" spans="1:7">
      <c r="A343" s="3"/>
      <c r="B343" s="3">
        <v>2108</v>
      </c>
      <c r="C343" s="3" t="s">
        <v>1970</v>
      </c>
      <c r="D343" s="22" t="s">
        <v>2318</v>
      </c>
      <c r="E343" s="10" t="s">
        <v>2319</v>
      </c>
      <c r="F343" s="23" t="s">
        <v>868</v>
      </c>
      <c r="G343" s="23">
        <v>1.2</v>
      </c>
    </row>
    <row r="344" s="21" customFormat="1" ht="21.5" customHeight="1" spans="1:7">
      <c r="A344" s="3"/>
      <c r="B344" s="3">
        <v>2108</v>
      </c>
      <c r="C344" s="3" t="s">
        <v>1970</v>
      </c>
      <c r="D344" s="22" t="s">
        <v>2318</v>
      </c>
      <c r="E344" s="10" t="s">
        <v>2320</v>
      </c>
      <c r="F344" s="23" t="s">
        <v>868</v>
      </c>
      <c r="G344" s="23">
        <v>0.9</v>
      </c>
    </row>
    <row r="345" s="21" customFormat="1" ht="21.5" customHeight="1" spans="1:7">
      <c r="A345" s="3"/>
      <c r="B345" s="3">
        <v>2108</v>
      </c>
      <c r="C345" s="3" t="s">
        <v>1970</v>
      </c>
      <c r="D345" s="22" t="s">
        <v>2321</v>
      </c>
      <c r="E345" s="10" t="s">
        <v>2322</v>
      </c>
      <c r="F345" s="23" t="s">
        <v>868</v>
      </c>
      <c r="G345" s="23">
        <v>0.3</v>
      </c>
    </row>
    <row r="346" s="21" customFormat="1" ht="21.5" customHeight="1" spans="1:7">
      <c r="A346" s="3"/>
      <c r="B346" s="3">
        <v>2108</v>
      </c>
      <c r="C346" s="3" t="s">
        <v>1970</v>
      </c>
      <c r="D346" s="22" t="s">
        <v>2321</v>
      </c>
      <c r="E346" s="10" t="s">
        <v>2323</v>
      </c>
      <c r="F346" s="23" t="s">
        <v>868</v>
      </c>
      <c r="G346" s="23">
        <v>0.8</v>
      </c>
    </row>
    <row r="347" s="21" customFormat="1" ht="21.5" customHeight="1" spans="1:7">
      <c r="A347" s="3"/>
      <c r="B347" s="3">
        <v>2108</v>
      </c>
      <c r="C347" s="3" t="s">
        <v>831</v>
      </c>
      <c r="D347" s="22" t="s">
        <v>2324</v>
      </c>
      <c r="E347" s="10" t="s">
        <v>2325</v>
      </c>
      <c r="F347" s="23" t="s">
        <v>868</v>
      </c>
      <c r="G347" s="23">
        <v>0.3</v>
      </c>
    </row>
    <row r="348" s="21" customFormat="1" ht="21.5" customHeight="1" spans="1:7">
      <c r="A348" s="3"/>
      <c r="B348" s="3">
        <v>2108</v>
      </c>
      <c r="C348" s="3" t="s">
        <v>831</v>
      </c>
      <c r="D348" s="22" t="s">
        <v>2324</v>
      </c>
      <c r="E348" s="10" t="s">
        <v>2326</v>
      </c>
      <c r="F348" s="23" t="s">
        <v>868</v>
      </c>
      <c r="G348" s="23">
        <v>0.7</v>
      </c>
    </row>
    <row r="349" s="21" customFormat="1" ht="21.5" customHeight="1" spans="1:7">
      <c r="A349" s="3"/>
      <c r="B349" s="3">
        <v>2108</v>
      </c>
      <c r="C349" s="3" t="s">
        <v>831</v>
      </c>
      <c r="D349" s="22" t="s">
        <v>2324</v>
      </c>
      <c r="E349" s="10" t="s">
        <v>2327</v>
      </c>
      <c r="F349" s="23" t="s">
        <v>868</v>
      </c>
      <c r="G349" s="23">
        <v>0.4</v>
      </c>
    </row>
    <row r="350" s="21" customFormat="1" ht="21.5" customHeight="1" spans="1:7">
      <c r="A350" s="3"/>
      <c r="B350" s="3">
        <v>2108</v>
      </c>
      <c r="C350" s="3"/>
      <c r="D350" s="22" t="s">
        <v>2328</v>
      </c>
      <c r="E350" s="10" t="s">
        <v>2326</v>
      </c>
      <c r="F350" s="23" t="s">
        <v>826</v>
      </c>
      <c r="G350" s="23">
        <v>150</v>
      </c>
    </row>
    <row r="351" s="21" customFormat="1" ht="21.5" customHeight="1" spans="1:7">
      <c r="A351" s="3"/>
      <c r="B351" s="3">
        <v>2108</v>
      </c>
      <c r="C351" s="3"/>
      <c r="D351" s="22" t="s">
        <v>1754</v>
      </c>
      <c r="E351" s="10" t="s">
        <v>2327</v>
      </c>
      <c r="F351" s="23" t="s">
        <v>826</v>
      </c>
      <c r="G351" s="23">
        <v>1000</v>
      </c>
    </row>
    <row r="352" s="21" customFormat="1" ht="21.5" customHeight="1" spans="1:7">
      <c r="A352" s="3"/>
      <c r="B352" s="3">
        <v>2108</v>
      </c>
      <c r="C352" s="3"/>
      <c r="D352" s="22" t="s">
        <v>1754</v>
      </c>
      <c r="E352" s="10" t="s">
        <v>2326</v>
      </c>
      <c r="F352" s="23" t="s">
        <v>826</v>
      </c>
      <c r="G352" s="23">
        <v>600</v>
      </c>
    </row>
    <row r="353" s="21" customFormat="1" ht="21.5" customHeight="1" spans="1:7">
      <c r="A353" s="3"/>
      <c r="B353" s="3">
        <v>2108</v>
      </c>
      <c r="C353" s="3" t="s">
        <v>2024</v>
      </c>
      <c r="D353" s="22" t="s">
        <v>2329</v>
      </c>
      <c r="E353" s="10" t="s">
        <v>2330</v>
      </c>
      <c r="F353" s="23" t="s">
        <v>868</v>
      </c>
      <c r="G353" s="23">
        <v>0.7</v>
      </c>
    </row>
    <row r="354" s="21" customFormat="1" ht="21.5" customHeight="1" spans="1:7">
      <c r="A354" s="3"/>
      <c r="B354" s="3">
        <v>2108</v>
      </c>
      <c r="C354" s="3" t="s">
        <v>2024</v>
      </c>
      <c r="D354" s="22" t="s">
        <v>2329</v>
      </c>
      <c r="E354" s="10" t="s">
        <v>2331</v>
      </c>
      <c r="F354" s="23" t="s">
        <v>868</v>
      </c>
      <c r="G354" s="23">
        <v>0.6</v>
      </c>
    </row>
    <row r="355" s="21" customFormat="1" ht="21.5" customHeight="1" spans="1:7">
      <c r="A355" s="3"/>
      <c r="B355" s="3">
        <v>2108</v>
      </c>
      <c r="C355" s="3" t="s">
        <v>2024</v>
      </c>
      <c r="D355" s="22" t="s">
        <v>2332</v>
      </c>
      <c r="E355" s="10" t="s">
        <v>2330</v>
      </c>
      <c r="F355" s="23" t="s">
        <v>868</v>
      </c>
      <c r="G355" s="23">
        <v>0.4</v>
      </c>
    </row>
    <row r="356" s="21" customFormat="1" ht="21.5" customHeight="1" spans="1:7">
      <c r="A356" s="3"/>
      <c r="B356" s="3">
        <v>2108</v>
      </c>
      <c r="C356" s="3"/>
      <c r="D356" s="22" t="s">
        <v>2333</v>
      </c>
      <c r="E356" s="10" t="s">
        <v>2334</v>
      </c>
      <c r="F356" s="23" t="s">
        <v>2335</v>
      </c>
      <c r="G356" s="23">
        <v>1.2</v>
      </c>
    </row>
    <row r="357" s="21" customFormat="1" ht="21.5" customHeight="1" spans="1:7">
      <c r="A357" s="3"/>
      <c r="B357" s="3">
        <v>2108</v>
      </c>
      <c r="C357" s="3"/>
      <c r="D357" s="22" t="s">
        <v>2333</v>
      </c>
      <c r="E357" s="10" t="s">
        <v>2336</v>
      </c>
      <c r="F357" s="23" t="s">
        <v>2335</v>
      </c>
      <c r="G357" s="23">
        <v>1.6</v>
      </c>
    </row>
    <row r="358" s="21" customFormat="1" ht="21.5" customHeight="1" spans="1:7">
      <c r="A358" s="3"/>
      <c r="B358" s="3">
        <v>2108</v>
      </c>
      <c r="C358" s="3"/>
      <c r="D358" s="22" t="s">
        <v>2333</v>
      </c>
      <c r="E358" s="10" t="s">
        <v>2337</v>
      </c>
      <c r="F358" s="23" t="s">
        <v>2338</v>
      </c>
      <c r="G358" s="23">
        <v>1000</v>
      </c>
    </row>
    <row r="359" s="21" customFormat="1" ht="21.5" customHeight="1" spans="1:7">
      <c r="A359" s="3"/>
      <c r="B359" s="3">
        <v>2108</v>
      </c>
      <c r="C359" s="3" t="s">
        <v>2024</v>
      </c>
      <c r="D359" s="22" t="s">
        <v>2339</v>
      </c>
      <c r="E359" s="10" t="s">
        <v>2340</v>
      </c>
      <c r="F359" s="23" t="s">
        <v>868</v>
      </c>
      <c r="G359" s="23">
        <v>1.2</v>
      </c>
    </row>
    <row r="360" s="21" customFormat="1" ht="21.5" customHeight="1" spans="1:7">
      <c r="A360" s="3"/>
      <c r="B360" s="3">
        <v>2108</v>
      </c>
      <c r="C360" s="3"/>
      <c r="D360" s="22" t="s">
        <v>2341</v>
      </c>
      <c r="E360" s="10" t="s">
        <v>2342</v>
      </c>
      <c r="F360" s="23" t="s">
        <v>1462</v>
      </c>
      <c r="G360" s="23">
        <v>150</v>
      </c>
    </row>
    <row r="361" s="21" customFormat="1" ht="21.5" customHeight="1" spans="1:7">
      <c r="A361" s="3"/>
      <c r="B361" s="3">
        <v>2108</v>
      </c>
      <c r="C361" s="3"/>
      <c r="D361" s="22"/>
      <c r="E361" s="10" t="s">
        <v>2343</v>
      </c>
      <c r="F361" s="23" t="s">
        <v>1462</v>
      </c>
      <c r="G361" s="23">
        <v>90</v>
      </c>
    </row>
    <row r="362" s="21" customFormat="1" ht="21.5" customHeight="1" spans="1:7">
      <c r="A362" s="3"/>
      <c r="B362" s="3">
        <v>2108</v>
      </c>
      <c r="C362" s="3"/>
      <c r="D362" s="22" t="s">
        <v>2344</v>
      </c>
      <c r="E362" s="10"/>
      <c r="F362" s="23"/>
      <c r="G362" s="23"/>
    </row>
    <row r="363" s="21" customFormat="1" ht="21.5" customHeight="1" spans="1:7">
      <c r="A363" s="3"/>
      <c r="B363" s="3">
        <v>2108</v>
      </c>
      <c r="C363" s="3"/>
      <c r="D363" s="3" t="s">
        <v>2345</v>
      </c>
      <c r="E363" s="22"/>
      <c r="F363" s="10"/>
      <c r="G363" s="23"/>
    </row>
    <row r="364" s="21" customFormat="1" ht="21.5" customHeight="1" spans="1:7">
      <c r="A364" s="3"/>
      <c r="B364" s="3">
        <v>2108</v>
      </c>
      <c r="C364" s="3"/>
      <c r="D364" s="3" t="s">
        <v>2346</v>
      </c>
      <c r="E364" s="22"/>
      <c r="F364" s="10" t="s">
        <v>12</v>
      </c>
      <c r="G364" s="23">
        <v>6</v>
      </c>
    </row>
    <row r="365" s="21" customFormat="1" ht="21.5" customHeight="1" spans="1:7">
      <c r="A365" s="3"/>
      <c r="B365" s="3">
        <v>2108</v>
      </c>
      <c r="C365" s="3"/>
      <c r="D365" s="3" t="s">
        <v>2347</v>
      </c>
      <c r="E365" s="22"/>
      <c r="F365" s="10" t="s">
        <v>2348</v>
      </c>
      <c r="G365" s="23">
        <v>6</v>
      </c>
    </row>
    <row r="366" s="21" customFormat="1" ht="21.5" customHeight="1" spans="1:7">
      <c r="A366" s="3"/>
      <c r="B366" s="3">
        <v>2108</v>
      </c>
      <c r="C366" s="3"/>
      <c r="D366" s="3" t="s">
        <v>2349</v>
      </c>
      <c r="E366" s="22"/>
      <c r="F366" s="10"/>
      <c r="G366" s="23"/>
    </row>
    <row r="367" s="21" customFormat="1" ht="21.5" customHeight="1" spans="1:7">
      <c r="A367" s="3"/>
      <c r="B367" s="3">
        <v>2108</v>
      </c>
      <c r="C367" s="3"/>
      <c r="D367" s="3" t="s">
        <v>2350</v>
      </c>
      <c r="E367" s="22"/>
      <c r="F367" s="10" t="s">
        <v>2351</v>
      </c>
      <c r="G367" s="23">
        <v>54</v>
      </c>
    </row>
    <row r="368" s="21" customFormat="1" ht="21.5" customHeight="1" spans="1:7">
      <c r="A368" s="3"/>
      <c r="B368" s="3">
        <v>2108</v>
      </c>
      <c r="C368" s="3"/>
      <c r="D368" s="3" t="s">
        <v>2352</v>
      </c>
      <c r="E368" s="22"/>
      <c r="F368" s="10" t="s">
        <v>12</v>
      </c>
      <c r="G368" s="23">
        <v>6</v>
      </c>
    </row>
    <row r="369" s="21" customFormat="1" ht="21.5" customHeight="1" spans="1:7">
      <c r="A369" s="3"/>
      <c r="B369" s="3">
        <v>2108</v>
      </c>
      <c r="C369" s="3"/>
      <c r="D369" s="3" t="s">
        <v>2353</v>
      </c>
      <c r="E369" s="22"/>
      <c r="F369" s="10"/>
      <c r="G369" s="23"/>
    </row>
    <row r="370" s="21" customFormat="1" ht="21.5" customHeight="1" spans="1:7">
      <c r="A370" s="3"/>
      <c r="B370" s="3">
        <v>2108</v>
      </c>
      <c r="C370" s="3"/>
      <c r="D370" s="3" t="s">
        <v>2354</v>
      </c>
      <c r="E370" s="22"/>
      <c r="F370" s="10" t="s">
        <v>12</v>
      </c>
      <c r="G370" s="23">
        <v>6</v>
      </c>
    </row>
    <row r="371" s="21" customFormat="1" ht="21.5" customHeight="1" spans="1:7">
      <c r="A371" s="3"/>
      <c r="B371" s="3">
        <v>2108</v>
      </c>
      <c r="C371" s="3"/>
      <c r="D371" s="3" t="s">
        <v>2355</v>
      </c>
      <c r="E371" s="22"/>
      <c r="F371" s="10" t="s">
        <v>2351</v>
      </c>
      <c r="G371" s="23">
        <v>18</v>
      </c>
    </row>
    <row r="372" s="21" customFormat="1" ht="21.5" customHeight="1" spans="1:7">
      <c r="A372" s="3"/>
      <c r="B372" s="3">
        <v>2108</v>
      </c>
      <c r="C372" s="3"/>
      <c r="D372" s="3" t="s">
        <v>2356</v>
      </c>
      <c r="E372" s="22"/>
      <c r="F372" s="10"/>
      <c r="G372" s="23"/>
    </row>
    <row r="373" s="21" customFormat="1" ht="21.5" customHeight="1" spans="1:7">
      <c r="A373" s="3"/>
      <c r="B373" s="3">
        <v>2108</v>
      </c>
      <c r="C373" s="3"/>
      <c r="D373" s="3" t="s">
        <v>2357</v>
      </c>
      <c r="E373" s="22"/>
      <c r="F373" s="10" t="s">
        <v>23</v>
      </c>
      <c r="G373" s="23">
        <v>8</v>
      </c>
    </row>
    <row r="374" s="21" customFormat="1" ht="21.5" customHeight="1" spans="1:7">
      <c r="A374" s="3"/>
      <c r="B374" s="3">
        <v>2108</v>
      </c>
      <c r="C374" s="3"/>
      <c r="D374" s="3" t="s">
        <v>2358</v>
      </c>
      <c r="E374" s="22"/>
      <c r="F374" s="10"/>
      <c r="G374" s="23"/>
    </row>
    <row r="375" s="21" customFormat="1" ht="21.5" customHeight="1" spans="1:7">
      <c r="A375" s="3"/>
      <c r="B375" s="3">
        <v>2108</v>
      </c>
      <c r="C375" s="3"/>
      <c r="D375" s="3" t="s">
        <v>2359</v>
      </c>
      <c r="E375" s="22"/>
      <c r="F375" s="10" t="s">
        <v>12</v>
      </c>
      <c r="G375" s="23">
        <v>18</v>
      </c>
    </row>
    <row r="376" s="21" customFormat="1" ht="21.5" customHeight="1" spans="1:7">
      <c r="A376" s="3"/>
      <c r="B376" s="3">
        <v>2108</v>
      </c>
      <c r="C376" s="3"/>
      <c r="D376" s="3" t="s">
        <v>2360</v>
      </c>
      <c r="E376" s="22"/>
      <c r="F376" s="10"/>
      <c r="G376" s="23"/>
    </row>
    <row r="377" s="21" customFormat="1" ht="21.5" customHeight="1" spans="1:7">
      <c r="A377" s="3"/>
      <c r="B377" s="3">
        <v>2108</v>
      </c>
      <c r="C377" s="3"/>
      <c r="D377" s="3" t="s">
        <v>2360</v>
      </c>
      <c r="E377" s="22"/>
      <c r="F377" s="10" t="s">
        <v>23</v>
      </c>
      <c r="G377" s="23">
        <v>1</v>
      </c>
    </row>
    <row r="378" s="21" customFormat="1" ht="21.5" customHeight="1" spans="1:7">
      <c r="A378" s="3"/>
      <c r="B378" s="3"/>
      <c r="C378" s="3"/>
      <c r="D378" s="22"/>
      <c r="E378" s="10"/>
      <c r="F378" s="23"/>
      <c r="G378" s="23"/>
    </row>
    <row r="379" s="21" customFormat="1" ht="21.5" customHeight="1" spans="1:7">
      <c r="A379" s="3" t="s">
        <v>2361</v>
      </c>
      <c r="B379" s="3"/>
      <c r="C379" s="3"/>
      <c r="D379" s="40" t="s">
        <v>2362</v>
      </c>
      <c r="E379" s="10"/>
      <c r="F379" s="23"/>
      <c r="G379" s="23"/>
    </row>
    <row r="380" s="21" customFormat="1" ht="21.5" customHeight="1" spans="1:7">
      <c r="A380" s="3">
        <v>2.1</v>
      </c>
      <c r="B380" s="3"/>
      <c r="C380" s="3"/>
      <c r="D380" s="22" t="s">
        <v>1974</v>
      </c>
      <c r="E380" s="10"/>
      <c r="F380" s="23"/>
      <c r="G380" s="23"/>
    </row>
    <row r="381" s="21" customFormat="1" ht="21.5" customHeight="1" spans="1:7">
      <c r="A381" s="3" t="s">
        <v>1975</v>
      </c>
      <c r="B381" s="3">
        <v>2108</v>
      </c>
      <c r="C381" s="3"/>
      <c r="D381" s="39" t="s">
        <v>1976</v>
      </c>
      <c r="E381" s="37" t="s">
        <v>1977</v>
      </c>
      <c r="F381" s="23" t="s">
        <v>1895</v>
      </c>
      <c r="G381" s="23">
        <v>2</v>
      </c>
    </row>
    <row r="382" s="21" customFormat="1" ht="21.5" customHeight="1" spans="1:7">
      <c r="A382" s="3"/>
      <c r="B382" s="3">
        <v>2108</v>
      </c>
      <c r="C382" s="3"/>
      <c r="D382" s="39" t="s">
        <v>2048</v>
      </c>
      <c r="E382" s="37" t="s">
        <v>2363</v>
      </c>
      <c r="F382" s="23" t="s">
        <v>12</v>
      </c>
      <c r="G382" s="23">
        <v>2</v>
      </c>
    </row>
    <row r="383" s="21" customFormat="1" ht="21.5" customHeight="1" spans="1:7">
      <c r="A383" s="3"/>
      <c r="B383" s="3">
        <v>2108</v>
      </c>
      <c r="C383" s="3"/>
      <c r="D383" s="22" t="s">
        <v>1980</v>
      </c>
      <c r="E383" s="10" t="s">
        <v>2364</v>
      </c>
      <c r="F383" s="23" t="s">
        <v>826</v>
      </c>
      <c r="G383" s="23">
        <v>15</v>
      </c>
    </row>
    <row r="384" s="21" customFormat="1" ht="21.5" customHeight="1" spans="1:7">
      <c r="A384" s="3" t="s">
        <v>1982</v>
      </c>
      <c r="B384" s="3">
        <v>2108</v>
      </c>
      <c r="C384" s="3"/>
      <c r="D384" s="22" t="s">
        <v>1983</v>
      </c>
      <c r="E384" s="10" t="s">
        <v>2365</v>
      </c>
      <c r="F384" s="23" t="s">
        <v>23</v>
      </c>
      <c r="G384" s="35">
        <v>0</v>
      </c>
    </row>
    <row r="385" s="21" customFormat="1" ht="21.5" customHeight="1" spans="1:7">
      <c r="A385" s="3" t="s">
        <v>1985</v>
      </c>
      <c r="B385" s="3">
        <v>2108</v>
      </c>
      <c r="C385" s="3"/>
      <c r="D385" s="22" t="s">
        <v>1986</v>
      </c>
      <c r="E385" s="10" t="s">
        <v>1989</v>
      </c>
      <c r="F385" s="23" t="s">
        <v>1895</v>
      </c>
      <c r="G385" s="23">
        <v>2</v>
      </c>
    </row>
    <row r="386" s="21" customFormat="1" ht="21.5" customHeight="1" spans="1:7">
      <c r="A386" s="3"/>
      <c r="B386" s="3">
        <v>2108</v>
      </c>
      <c r="C386" s="3"/>
      <c r="D386" s="22" t="s">
        <v>1988</v>
      </c>
      <c r="E386" s="10" t="s">
        <v>2366</v>
      </c>
      <c r="F386" s="23" t="s">
        <v>1895</v>
      </c>
      <c r="G386" s="23">
        <v>1</v>
      </c>
    </row>
    <row r="387" s="21" customFormat="1" ht="21.5" customHeight="1" spans="1:7">
      <c r="A387" s="3" t="s">
        <v>1990</v>
      </c>
      <c r="B387" s="3">
        <v>2108</v>
      </c>
      <c r="C387" s="3"/>
      <c r="D387" s="22" t="s">
        <v>2179</v>
      </c>
      <c r="E387" s="10" t="s">
        <v>2367</v>
      </c>
      <c r="F387" s="23" t="s">
        <v>1895</v>
      </c>
      <c r="G387" s="23">
        <v>1</v>
      </c>
    </row>
    <row r="388" s="21" customFormat="1" ht="21.5" customHeight="1" spans="1:7">
      <c r="A388" s="3"/>
      <c r="B388" s="3">
        <v>2108</v>
      </c>
      <c r="C388" s="3"/>
      <c r="D388" s="22" t="s">
        <v>2179</v>
      </c>
      <c r="E388" s="10" t="s">
        <v>2368</v>
      </c>
      <c r="F388" s="23" t="s">
        <v>1895</v>
      </c>
      <c r="G388" s="23">
        <v>3</v>
      </c>
    </row>
    <row r="389" s="21" customFormat="1" ht="21.5" customHeight="1" spans="1:7">
      <c r="A389" s="3">
        <v>2.2</v>
      </c>
      <c r="B389" s="3">
        <v>2108</v>
      </c>
      <c r="C389" s="3"/>
      <c r="D389" s="22" t="s">
        <v>2009</v>
      </c>
      <c r="E389" s="10"/>
      <c r="F389" s="23"/>
      <c r="G389" s="23"/>
    </row>
    <row r="390" s="21" customFormat="1" ht="21.5" customHeight="1" spans="1:7">
      <c r="A390" s="3" t="s">
        <v>1975</v>
      </c>
      <c r="B390" s="3">
        <v>2108</v>
      </c>
      <c r="C390" s="3" t="s">
        <v>1843</v>
      </c>
      <c r="D390" s="22" t="s">
        <v>1843</v>
      </c>
      <c r="E390" s="10"/>
      <c r="F390" s="23"/>
      <c r="G390" s="23"/>
    </row>
    <row r="391" s="21" customFormat="1" ht="21.5" customHeight="1" spans="1:7">
      <c r="A391" s="3"/>
      <c r="B391" s="3">
        <v>2108</v>
      </c>
      <c r="C391" s="3" t="s">
        <v>1843</v>
      </c>
      <c r="D391" s="22" t="s">
        <v>1843</v>
      </c>
      <c r="E391" s="10" t="s">
        <v>2183</v>
      </c>
      <c r="F391" s="23" t="s">
        <v>826</v>
      </c>
      <c r="G391" s="23">
        <v>672</v>
      </c>
    </row>
    <row r="392" s="21" customFormat="1" ht="21.5" customHeight="1" spans="1:7">
      <c r="A392" s="3"/>
      <c r="B392" s="3">
        <v>2108</v>
      </c>
      <c r="C392" s="3" t="s">
        <v>1843</v>
      </c>
      <c r="D392" s="22" t="s">
        <v>1843</v>
      </c>
      <c r="E392" s="10" t="s">
        <v>2016</v>
      </c>
      <c r="F392" s="23" t="s">
        <v>826</v>
      </c>
      <c r="G392" s="23">
        <v>180</v>
      </c>
    </row>
    <row r="393" s="21" customFormat="1" ht="21.5" customHeight="1" spans="1:7">
      <c r="A393" s="3" t="s">
        <v>1982</v>
      </c>
      <c r="B393" s="3">
        <v>2108</v>
      </c>
      <c r="C393" s="3" t="s">
        <v>1970</v>
      </c>
      <c r="D393" s="22" t="s">
        <v>1970</v>
      </c>
      <c r="E393" s="10" t="s">
        <v>2022</v>
      </c>
      <c r="F393" s="23" t="s">
        <v>1210</v>
      </c>
      <c r="G393" s="23">
        <v>5</v>
      </c>
    </row>
    <row r="394" s="21" customFormat="1" ht="21.5" customHeight="1" spans="1:7">
      <c r="A394" s="3" t="s">
        <v>1985</v>
      </c>
      <c r="B394" s="3">
        <v>2108</v>
      </c>
      <c r="C394" s="3" t="s">
        <v>831</v>
      </c>
      <c r="D394" s="22" t="s">
        <v>2185</v>
      </c>
      <c r="E394" s="10" t="s">
        <v>2046</v>
      </c>
      <c r="F394" s="23" t="s">
        <v>1210</v>
      </c>
      <c r="G394" s="23">
        <v>0.75</v>
      </c>
    </row>
    <row r="395" s="21" customFormat="1" ht="21.5" customHeight="1" spans="1:7">
      <c r="A395" s="3" t="s">
        <v>1990</v>
      </c>
      <c r="B395" s="3">
        <v>2108</v>
      </c>
      <c r="C395" s="3" t="s">
        <v>2024</v>
      </c>
      <c r="D395" s="22" t="s">
        <v>2024</v>
      </c>
      <c r="E395" s="10" t="s">
        <v>2025</v>
      </c>
      <c r="F395" s="23" t="s">
        <v>1210</v>
      </c>
      <c r="G395" s="23">
        <v>1.5</v>
      </c>
    </row>
    <row r="396" s="21" customFormat="1" ht="21.5" customHeight="1" spans="1:7">
      <c r="A396" s="3"/>
      <c r="B396" s="3"/>
      <c r="C396" s="3"/>
      <c r="D396" s="22"/>
      <c r="E396" s="10"/>
      <c r="F396" s="23"/>
      <c r="G396" s="23"/>
    </row>
    <row r="397" s="21" customFormat="1" ht="21.5" customHeight="1" spans="1:7">
      <c r="A397" s="36"/>
      <c r="B397" s="36"/>
      <c r="C397" s="36"/>
      <c r="D397" s="25" t="s">
        <v>34</v>
      </c>
      <c r="E397" s="37"/>
      <c r="F397" s="38"/>
      <c r="G397" s="38"/>
    </row>
    <row r="398" s="21" customFormat="1" ht="21.5" customHeight="1" spans="1:7">
      <c r="A398" s="3"/>
      <c r="B398" s="3"/>
      <c r="C398" s="3"/>
      <c r="D398" s="22"/>
      <c r="E398" s="10"/>
      <c r="F398" s="23"/>
      <c r="G398" s="23"/>
    </row>
    <row r="399" s="21" customFormat="1" ht="21.5" customHeight="1" spans="1:7">
      <c r="A399" s="3">
        <v>8</v>
      </c>
      <c r="B399" s="3"/>
      <c r="C399" s="3"/>
      <c r="D399" s="22" t="s">
        <v>2369</v>
      </c>
      <c r="E399" s="10"/>
      <c r="F399" s="23"/>
      <c r="G399" s="23"/>
    </row>
    <row r="400" s="21" customFormat="1" ht="21.5" customHeight="1" spans="1:7">
      <c r="A400" s="3">
        <v>8.1</v>
      </c>
      <c r="B400" s="3"/>
      <c r="C400" s="3"/>
      <c r="D400" s="22" t="s">
        <v>1974</v>
      </c>
      <c r="E400" s="10"/>
      <c r="F400" s="23"/>
      <c r="G400" s="23"/>
    </row>
    <row r="401" s="21" customFormat="1" ht="21.5" customHeight="1" spans="1:7">
      <c r="A401" s="3" t="s">
        <v>1975</v>
      </c>
      <c r="B401" s="3">
        <v>2150</v>
      </c>
      <c r="C401" s="3"/>
      <c r="D401" s="22" t="s">
        <v>1976</v>
      </c>
      <c r="E401" s="10" t="s">
        <v>1977</v>
      </c>
      <c r="F401" s="23" t="s">
        <v>26</v>
      </c>
      <c r="G401" s="23">
        <v>0</v>
      </c>
    </row>
    <row r="402" s="21" customFormat="1" ht="21.5" customHeight="1" spans="1:7">
      <c r="A402" s="3"/>
      <c r="B402" s="3">
        <v>2150</v>
      </c>
      <c r="C402" s="3"/>
      <c r="D402" s="22" t="s">
        <v>2048</v>
      </c>
      <c r="E402" s="10" t="s">
        <v>2363</v>
      </c>
      <c r="F402" s="23" t="s">
        <v>12</v>
      </c>
      <c r="G402" s="23">
        <v>2</v>
      </c>
    </row>
    <row r="403" s="21" customFormat="1" ht="21.5" customHeight="1" spans="1:7">
      <c r="A403" s="3"/>
      <c r="B403" s="3">
        <v>2150</v>
      </c>
      <c r="C403" s="3"/>
      <c r="D403" s="22" t="s">
        <v>1980</v>
      </c>
      <c r="E403" s="10" t="s">
        <v>2364</v>
      </c>
      <c r="F403" s="23" t="s">
        <v>826</v>
      </c>
      <c r="G403" s="23">
        <v>15</v>
      </c>
    </row>
    <row r="404" s="21" customFormat="1" ht="21.5" customHeight="1" spans="1:7">
      <c r="A404" s="3" t="s">
        <v>1982</v>
      </c>
      <c r="B404" s="3">
        <v>2150</v>
      </c>
      <c r="C404" s="3"/>
      <c r="D404" s="22" t="s">
        <v>1983</v>
      </c>
      <c r="E404" s="10" t="s">
        <v>2051</v>
      </c>
      <c r="F404" s="23" t="s">
        <v>23</v>
      </c>
      <c r="G404" s="35">
        <v>0</v>
      </c>
    </row>
    <row r="405" s="21" customFormat="1" ht="21.5" customHeight="1" spans="1:7">
      <c r="A405" s="3" t="s">
        <v>1985</v>
      </c>
      <c r="B405" s="3">
        <v>2150</v>
      </c>
      <c r="C405" s="3"/>
      <c r="D405" s="22" t="s">
        <v>1986</v>
      </c>
      <c r="E405" s="10" t="s">
        <v>1989</v>
      </c>
      <c r="F405" s="23" t="s">
        <v>1895</v>
      </c>
      <c r="G405" s="23">
        <v>2</v>
      </c>
    </row>
    <row r="406" s="21" customFormat="1" ht="21.5" customHeight="1" spans="1:7">
      <c r="A406" s="3"/>
      <c r="B406" s="3">
        <v>2150</v>
      </c>
      <c r="C406" s="3"/>
      <c r="D406" s="22" t="s">
        <v>1988</v>
      </c>
      <c r="E406" s="10" t="s">
        <v>2366</v>
      </c>
      <c r="F406" s="23" t="s">
        <v>1895</v>
      </c>
      <c r="G406" s="23">
        <v>1</v>
      </c>
    </row>
    <row r="407" s="21" customFormat="1" ht="21.5" customHeight="1" spans="1:7">
      <c r="A407" s="3" t="s">
        <v>1990</v>
      </c>
      <c r="B407" s="3">
        <v>2150</v>
      </c>
      <c r="C407" s="3"/>
      <c r="D407" s="22" t="s">
        <v>2179</v>
      </c>
      <c r="E407" s="10" t="s">
        <v>1993</v>
      </c>
      <c r="F407" s="23" t="s">
        <v>1895</v>
      </c>
      <c r="G407" s="23">
        <v>2</v>
      </c>
    </row>
    <row r="408" s="21" customFormat="1" ht="21.5" customHeight="1" spans="1:7">
      <c r="A408" s="3"/>
      <c r="B408" s="3">
        <v>2150</v>
      </c>
      <c r="C408" s="3"/>
      <c r="D408" s="22" t="s">
        <v>2074</v>
      </c>
      <c r="E408" s="10" t="s">
        <v>1993</v>
      </c>
      <c r="F408" s="23" t="s">
        <v>1895</v>
      </c>
      <c r="G408" s="23">
        <v>9</v>
      </c>
    </row>
    <row r="409" s="21" customFormat="1" ht="21.5" customHeight="1" spans="1:7">
      <c r="A409" s="3"/>
      <c r="B409" s="3">
        <v>2150</v>
      </c>
      <c r="C409" s="3"/>
      <c r="D409" s="22" t="s">
        <v>2054</v>
      </c>
      <c r="E409" s="37" t="s">
        <v>2370</v>
      </c>
      <c r="F409" s="23" t="s">
        <v>12</v>
      </c>
      <c r="G409" s="23">
        <v>2</v>
      </c>
    </row>
    <row r="410" s="21" customFormat="1" ht="21.5" customHeight="1" spans="1:7">
      <c r="A410" s="3"/>
      <c r="B410" s="3">
        <v>2150</v>
      </c>
      <c r="C410" s="3"/>
      <c r="D410" s="22" t="s">
        <v>2054</v>
      </c>
      <c r="E410" s="37" t="s">
        <v>2055</v>
      </c>
      <c r="F410" s="23" t="s">
        <v>12</v>
      </c>
      <c r="G410" s="23">
        <v>2</v>
      </c>
    </row>
    <row r="411" s="21" customFormat="1" ht="21.5" customHeight="1" spans="1:7">
      <c r="A411" s="3"/>
      <c r="B411" s="3">
        <v>2150</v>
      </c>
      <c r="C411" s="3"/>
      <c r="D411" s="22" t="s">
        <v>2054</v>
      </c>
      <c r="E411" s="10" t="s">
        <v>2371</v>
      </c>
      <c r="F411" s="23" t="s">
        <v>12</v>
      </c>
      <c r="G411" s="23">
        <v>5</v>
      </c>
    </row>
    <row r="412" s="21" customFormat="1" ht="21.5" customHeight="1" spans="1:7">
      <c r="A412" s="3"/>
      <c r="B412" s="3">
        <v>2150</v>
      </c>
      <c r="C412" s="3"/>
      <c r="D412" s="22" t="s">
        <v>2054</v>
      </c>
      <c r="E412" s="10" t="s">
        <v>2056</v>
      </c>
      <c r="F412" s="23" t="s">
        <v>12</v>
      </c>
      <c r="G412" s="23">
        <v>2</v>
      </c>
    </row>
    <row r="413" s="21" customFormat="1" ht="21.5" customHeight="1" spans="1:7">
      <c r="A413" s="3"/>
      <c r="B413" s="3">
        <v>2150</v>
      </c>
      <c r="C413" s="3"/>
      <c r="D413" s="39" t="s">
        <v>2054</v>
      </c>
      <c r="E413" s="37" t="s">
        <v>2372</v>
      </c>
      <c r="F413" s="38" t="s">
        <v>12</v>
      </c>
      <c r="G413" s="38">
        <v>3</v>
      </c>
    </row>
    <row r="414" s="21" customFormat="1" ht="21.5" customHeight="1" spans="1:7">
      <c r="A414" s="3"/>
      <c r="B414" s="3">
        <v>2150</v>
      </c>
      <c r="C414" s="3"/>
      <c r="D414" s="39" t="s">
        <v>2076</v>
      </c>
      <c r="E414" s="37" t="s">
        <v>1993</v>
      </c>
      <c r="F414" s="38" t="s">
        <v>1895</v>
      </c>
      <c r="G414" s="38">
        <v>1</v>
      </c>
    </row>
    <row r="415" s="21" customFormat="1" ht="21.5" customHeight="1" spans="1:7">
      <c r="A415" s="3"/>
      <c r="B415" s="3">
        <v>2150</v>
      </c>
      <c r="C415" s="3"/>
      <c r="D415" s="22" t="s">
        <v>2373</v>
      </c>
      <c r="E415" s="10" t="s">
        <v>2374</v>
      </c>
      <c r="F415" s="23" t="s">
        <v>12</v>
      </c>
      <c r="G415" s="23">
        <v>2</v>
      </c>
    </row>
    <row r="416" s="21" customFormat="1" ht="21.5" customHeight="1" spans="1:7">
      <c r="A416" s="3" t="s">
        <v>2023</v>
      </c>
      <c r="B416" s="3">
        <v>2150</v>
      </c>
      <c r="C416" s="3"/>
      <c r="D416" s="22" t="s">
        <v>2072</v>
      </c>
      <c r="E416" s="10" t="s">
        <v>1996</v>
      </c>
      <c r="F416" s="23" t="s">
        <v>1895</v>
      </c>
      <c r="G416" s="23">
        <v>9</v>
      </c>
    </row>
    <row r="417" s="21" customFormat="1" ht="21.5" customHeight="1" spans="1:7">
      <c r="A417" s="3"/>
      <c r="B417" s="3">
        <v>2150</v>
      </c>
      <c r="C417" s="3"/>
      <c r="D417" s="22" t="s">
        <v>2375</v>
      </c>
      <c r="E417" s="10" t="s">
        <v>2132</v>
      </c>
      <c r="F417" s="23" t="s">
        <v>12</v>
      </c>
      <c r="G417" s="23">
        <v>7</v>
      </c>
    </row>
    <row r="418" s="21" customFormat="1" ht="21.5" customHeight="1" spans="1:7">
      <c r="A418" s="3"/>
      <c r="B418" s="3">
        <v>2150</v>
      </c>
      <c r="C418" s="3"/>
      <c r="D418" s="22" t="s">
        <v>2375</v>
      </c>
      <c r="E418" s="10" t="s">
        <v>2376</v>
      </c>
      <c r="F418" s="23" t="s">
        <v>12</v>
      </c>
      <c r="G418" s="23">
        <v>2</v>
      </c>
    </row>
    <row r="419" s="21" customFormat="1" ht="21.5" customHeight="1" spans="1:7">
      <c r="A419" s="3"/>
      <c r="B419" s="3">
        <v>2150</v>
      </c>
      <c r="C419" s="3"/>
      <c r="D419" s="22" t="s">
        <v>2375</v>
      </c>
      <c r="E419" s="10" t="s">
        <v>2058</v>
      </c>
      <c r="F419" s="23" t="s">
        <v>12</v>
      </c>
      <c r="G419" s="23">
        <v>3</v>
      </c>
    </row>
    <row r="420" s="21" customFormat="1" ht="21.5" customHeight="1" spans="1:7">
      <c r="A420" s="3" t="s">
        <v>2026</v>
      </c>
      <c r="B420" s="3">
        <v>2150</v>
      </c>
      <c r="C420" s="3"/>
      <c r="D420" s="22" t="s">
        <v>2067</v>
      </c>
      <c r="E420" s="10"/>
      <c r="F420" s="23"/>
      <c r="G420" s="23"/>
    </row>
    <row r="421" s="21" customFormat="1" ht="21.5" customHeight="1" spans="1:7">
      <c r="A421" s="3"/>
      <c r="B421" s="3">
        <v>2150</v>
      </c>
      <c r="C421" s="3"/>
      <c r="D421" s="22" t="s">
        <v>1902</v>
      </c>
      <c r="E421" s="10" t="s">
        <v>2377</v>
      </c>
      <c r="F421" s="23" t="s">
        <v>26</v>
      </c>
      <c r="G421" s="23">
        <v>8</v>
      </c>
    </row>
    <row r="422" s="21" customFormat="1" ht="21.5" customHeight="1" spans="1:7">
      <c r="A422" s="3"/>
      <c r="B422" s="3">
        <v>2150</v>
      </c>
      <c r="C422" s="3"/>
      <c r="D422" s="22" t="s">
        <v>2378</v>
      </c>
      <c r="E422" s="10" t="s">
        <v>2379</v>
      </c>
      <c r="F422" s="23" t="s">
        <v>26</v>
      </c>
      <c r="G422" s="23">
        <v>4</v>
      </c>
    </row>
    <row r="423" s="21" customFormat="1" ht="21.5" customHeight="1" spans="1:7">
      <c r="A423" s="3"/>
      <c r="B423" s="3">
        <v>2150</v>
      </c>
      <c r="C423" s="3"/>
      <c r="D423" s="22" t="s">
        <v>2380</v>
      </c>
      <c r="E423" s="10" t="s">
        <v>2006</v>
      </c>
      <c r="F423" s="23" t="s">
        <v>26</v>
      </c>
      <c r="G423" s="23">
        <v>4</v>
      </c>
    </row>
    <row r="424" s="21" customFormat="1" ht="21.5" customHeight="1" spans="1:7">
      <c r="A424" s="3"/>
      <c r="B424" s="3">
        <v>2150</v>
      </c>
      <c r="C424" s="3"/>
      <c r="D424" s="22" t="s">
        <v>2381</v>
      </c>
      <c r="E424" s="10" t="s">
        <v>2382</v>
      </c>
      <c r="F424" s="23" t="s">
        <v>26</v>
      </c>
      <c r="G424" s="23">
        <v>10</v>
      </c>
    </row>
    <row r="425" s="21" customFormat="1" ht="21.5" customHeight="1" spans="1:7">
      <c r="A425" s="3"/>
      <c r="B425" s="3">
        <v>2150</v>
      </c>
      <c r="C425" s="3"/>
      <c r="D425" s="22" t="s">
        <v>1900</v>
      </c>
      <c r="E425" s="10" t="s">
        <v>2377</v>
      </c>
      <c r="F425" s="23" t="s">
        <v>26</v>
      </c>
      <c r="G425" s="23">
        <v>1</v>
      </c>
    </row>
    <row r="426" s="21" customFormat="1" ht="21.5" customHeight="1" spans="1:7">
      <c r="A426" s="3">
        <v>8.2</v>
      </c>
      <c r="B426" s="3">
        <v>2150</v>
      </c>
      <c r="C426" s="3"/>
      <c r="D426" s="22" t="s">
        <v>2009</v>
      </c>
      <c r="E426" s="10"/>
      <c r="F426" s="23"/>
      <c r="G426" s="23"/>
    </row>
    <row r="427" s="21" customFormat="1" ht="21.5" customHeight="1" spans="1:7">
      <c r="A427" s="3" t="s">
        <v>1975</v>
      </c>
      <c r="B427" s="3">
        <v>2150</v>
      </c>
      <c r="C427" s="3" t="s">
        <v>1843</v>
      </c>
      <c r="D427" s="22" t="s">
        <v>1843</v>
      </c>
      <c r="E427" s="10"/>
      <c r="F427" s="23"/>
      <c r="G427" s="23"/>
    </row>
    <row r="428" s="21" customFormat="1" ht="21.5" customHeight="1" spans="1:7">
      <c r="A428" s="3"/>
      <c r="B428" s="3">
        <v>2150</v>
      </c>
      <c r="C428" s="3" t="s">
        <v>1843</v>
      </c>
      <c r="D428" s="22" t="s">
        <v>1843</v>
      </c>
      <c r="E428" s="10" t="s">
        <v>2017</v>
      </c>
      <c r="F428" s="23" t="s">
        <v>1462</v>
      </c>
      <c r="G428" s="23">
        <v>434</v>
      </c>
    </row>
    <row r="429" s="21" customFormat="1" ht="21.5" customHeight="1" spans="1:7">
      <c r="A429" s="3"/>
      <c r="B429" s="3">
        <v>2150</v>
      </c>
      <c r="C429" s="3" t="s">
        <v>2102</v>
      </c>
      <c r="D429" s="22" t="s">
        <v>1843</v>
      </c>
      <c r="E429" s="10" t="s">
        <v>2162</v>
      </c>
      <c r="F429" s="23" t="s">
        <v>1462</v>
      </c>
      <c r="G429" s="23">
        <v>154</v>
      </c>
    </row>
    <row r="430" s="21" customFormat="1" ht="21.5" customHeight="1" spans="1:7">
      <c r="A430" s="3"/>
      <c r="B430" s="3">
        <v>2150</v>
      </c>
      <c r="C430" s="3" t="s">
        <v>1843</v>
      </c>
      <c r="D430" s="22" t="s">
        <v>1843</v>
      </c>
      <c r="E430" s="10" t="s">
        <v>2383</v>
      </c>
      <c r="F430" s="23" t="s">
        <v>1462</v>
      </c>
      <c r="G430" s="23">
        <v>0</v>
      </c>
    </row>
    <row r="431" s="21" customFormat="1" ht="21.5" customHeight="1" spans="1:7">
      <c r="A431" s="3"/>
      <c r="B431" s="3">
        <v>2150</v>
      </c>
      <c r="C431" s="3" t="s">
        <v>1843</v>
      </c>
      <c r="D431" s="22" t="s">
        <v>1843</v>
      </c>
      <c r="E431" s="10" t="s">
        <v>2018</v>
      </c>
      <c r="F431" s="23" t="s">
        <v>1462</v>
      </c>
      <c r="G431" s="23">
        <v>539</v>
      </c>
    </row>
    <row r="432" s="21" customFormat="1" ht="21.5" customHeight="1" spans="1:7">
      <c r="A432" s="3"/>
      <c r="B432" s="3">
        <v>2150</v>
      </c>
      <c r="C432" s="3" t="s">
        <v>1843</v>
      </c>
      <c r="D432" s="22" t="s">
        <v>1843</v>
      </c>
      <c r="E432" s="10" t="s">
        <v>2060</v>
      </c>
      <c r="F432" s="23" t="s">
        <v>1462</v>
      </c>
      <c r="G432" s="23">
        <v>0</v>
      </c>
    </row>
    <row r="433" s="21" customFormat="1" ht="21.5" customHeight="1" spans="1:7">
      <c r="A433" s="3"/>
      <c r="B433" s="3">
        <v>2150</v>
      </c>
      <c r="C433" s="3" t="s">
        <v>1843</v>
      </c>
      <c r="D433" s="22" t="s">
        <v>1843</v>
      </c>
      <c r="E433" s="10" t="s">
        <v>2060</v>
      </c>
      <c r="F433" s="23" t="s">
        <v>1462</v>
      </c>
      <c r="G433" s="23">
        <v>270</v>
      </c>
    </row>
    <row r="434" s="21" customFormat="1" ht="21.5" customHeight="1" spans="1:7">
      <c r="A434" s="3"/>
      <c r="B434" s="3">
        <v>2150</v>
      </c>
      <c r="C434" s="3" t="s">
        <v>1843</v>
      </c>
      <c r="D434" s="22" t="s">
        <v>1843</v>
      </c>
      <c r="E434" s="10" t="s">
        <v>2384</v>
      </c>
      <c r="F434" s="23" t="s">
        <v>1462</v>
      </c>
      <c r="G434" s="23">
        <v>0</v>
      </c>
    </row>
    <row r="435" s="21" customFormat="1" ht="21.5" customHeight="1" spans="1:7">
      <c r="A435" s="3"/>
      <c r="B435" s="3">
        <v>2150</v>
      </c>
      <c r="C435" s="3" t="s">
        <v>1843</v>
      </c>
      <c r="D435" s="22" t="s">
        <v>1843</v>
      </c>
      <c r="E435" s="10" t="s">
        <v>2019</v>
      </c>
      <c r="F435" s="23" t="s">
        <v>1462</v>
      </c>
      <c r="G435" s="23">
        <v>231</v>
      </c>
    </row>
    <row r="436" s="21" customFormat="1" ht="21.5" customHeight="1" spans="1:7">
      <c r="A436" s="3"/>
      <c r="B436" s="3">
        <v>2150</v>
      </c>
      <c r="C436" s="3" t="s">
        <v>1843</v>
      </c>
      <c r="D436" s="22" t="s">
        <v>1843</v>
      </c>
      <c r="E436" s="10" t="s">
        <v>2385</v>
      </c>
      <c r="F436" s="23" t="s">
        <v>1462</v>
      </c>
      <c r="G436" s="23">
        <v>539</v>
      </c>
    </row>
    <row r="437" s="21" customFormat="1" ht="21.5" customHeight="1" spans="1:7">
      <c r="A437" s="3"/>
      <c r="B437" s="3">
        <v>2150</v>
      </c>
      <c r="C437" s="3" t="s">
        <v>1843</v>
      </c>
      <c r="D437" s="22" t="s">
        <v>1843</v>
      </c>
      <c r="E437" s="10" t="s">
        <v>2386</v>
      </c>
      <c r="F437" s="23" t="s">
        <v>1462</v>
      </c>
      <c r="G437" s="23">
        <v>385</v>
      </c>
    </row>
    <row r="438" s="21" customFormat="1" ht="21.5" customHeight="1" spans="1:7">
      <c r="A438" s="3"/>
      <c r="B438" s="3">
        <v>2150</v>
      </c>
      <c r="C438" s="3" t="s">
        <v>1843</v>
      </c>
      <c r="D438" s="22" t="s">
        <v>1843</v>
      </c>
      <c r="E438" s="10" t="s">
        <v>2020</v>
      </c>
      <c r="F438" s="23" t="s">
        <v>1462</v>
      </c>
      <c r="G438" s="23">
        <v>1001</v>
      </c>
    </row>
    <row r="439" s="21" customFormat="1" ht="21.5" customHeight="1" spans="1:7">
      <c r="A439" s="3"/>
      <c r="B439" s="3">
        <v>2150</v>
      </c>
      <c r="C439" s="3" t="s">
        <v>1843</v>
      </c>
      <c r="D439" s="22" t="s">
        <v>1843</v>
      </c>
      <c r="E439" s="10" t="s">
        <v>2062</v>
      </c>
      <c r="F439" s="23" t="s">
        <v>1462</v>
      </c>
      <c r="G439" s="23">
        <v>1771</v>
      </c>
    </row>
    <row r="440" s="21" customFormat="1" ht="21.5" customHeight="1" spans="1:7">
      <c r="A440" s="3"/>
      <c r="B440" s="3">
        <v>2150</v>
      </c>
      <c r="C440" s="3" t="s">
        <v>2102</v>
      </c>
      <c r="D440" s="22" t="s">
        <v>1843</v>
      </c>
      <c r="E440" s="10" t="s">
        <v>2387</v>
      </c>
      <c r="F440" s="23" t="s">
        <v>1462</v>
      </c>
      <c r="G440" s="23">
        <v>0</v>
      </c>
    </row>
    <row r="441" s="21" customFormat="1" ht="21.5" customHeight="1" spans="1:7">
      <c r="A441" s="3"/>
      <c r="B441" s="3">
        <v>2150</v>
      </c>
      <c r="C441" s="3" t="s">
        <v>1843</v>
      </c>
      <c r="D441" s="22" t="s">
        <v>1843</v>
      </c>
      <c r="E441" s="10" t="s">
        <v>2021</v>
      </c>
      <c r="F441" s="23" t="s">
        <v>1462</v>
      </c>
      <c r="G441" s="23">
        <v>270</v>
      </c>
    </row>
    <row r="442" s="21" customFormat="1" ht="21.5" customHeight="1" spans="1:7">
      <c r="A442" s="3" t="s">
        <v>1982</v>
      </c>
      <c r="B442" s="3">
        <v>2150</v>
      </c>
      <c r="C442" s="3" t="s">
        <v>1847</v>
      </c>
      <c r="D442" s="22" t="s">
        <v>1847</v>
      </c>
      <c r="E442" s="10"/>
      <c r="F442" s="23"/>
      <c r="G442" s="23"/>
    </row>
    <row r="443" s="21" customFormat="1" ht="21.5" customHeight="1" spans="1:7">
      <c r="A443" s="3"/>
      <c r="B443" s="3">
        <v>2150</v>
      </c>
      <c r="C443" s="3" t="s">
        <v>1847</v>
      </c>
      <c r="D443" s="22" t="s">
        <v>1847</v>
      </c>
      <c r="E443" s="10" t="s">
        <v>2388</v>
      </c>
      <c r="F443" s="23" t="s">
        <v>1462</v>
      </c>
      <c r="G443" s="23">
        <v>6348</v>
      </c>
    </row>
    <row r="444" s="21" customFormat="1" ht="21.5" customHeight="1" spans="1:7">
      <c r="A444" s="3"/>
      <c r="B444" s="3">
        <v>2150</v>
      </c>
      <c r="C444" s="3" t="s">
        <v>1847</v>
      </c>
      <c r="D444" s="22" t="s">
        <v>1847</v>
      </c>
      <c r="E444" s="10" t="s">
        <v>2389</v>
      </c>
      <c r="F444" s="23" t="s">
        <v>1462</v>
      </c>
      <c r="G444" s="23">
        <v>2898</v>
      </c>
    </row>
    <row r="445" s="21" customFormat="1" ht="21.5" customHeight="1" spans="1:7">
      <c r="A445" s="3" t="s">
        <v>1985</v>
      </c>
      <c r="B445" s="3">
        <v>2150</v>
      </c>
      <c r="C445" s="3" t="s">
        <v>2010</v>
      </c>
      <c r="D445" s="22" t="s">
        <v>2014</v>
      </c>
      <c r="E445" s="10" t="s">
        <v>2390</v>
      </c>
      <c r="F445" s="23" t="s">
        <v>1462</v>
      </c>
      <c r="G445" s="23">
        <v>264</v>
      </c>
    </row>
    <row r="446" s="21" customFormat="1" ht="21.5" customHeight="1" spans="1:7">
      <c r="A446" s="3" t="s">
        <v>1990</v>
      </c>
      <c r="B446" s="3">
        <v>2150</v>
      </c>
      <c r="C446" s="3" t="s">
        <v>1970</v>
      </c>
      <c r="D446" s="22" t="s">
        <v>1970</v>
      </c>
      <c r="E446" s="10" t="s">
        <v>2022</v>
      </c>
      <c r="F446" s="23" t="s">
        <v>1210</v>
      </c>
      <c r="G446" s="23">
        <v>5.28</v>
      </c>
    </row>
    <row r="447" s="21" customFormat="1" ht="21.5" customHeight="1" spans="1:7">
      <c r="A447" s="3"/>
      <c r="B447" s="3">
        <v>2150</v>
      </c>
      <c r="C447" s="3" t="s">
        <v>831</v>
      </c>
      <c r="D447" s="22" t="s">
        <v>2045</v>
      </c>
      <c r="E447" s="10" t="s">
        <v>2046</v>
      </c>
      <c r="F447" s="23" t="s">
        <v>1210</v>
      </c>
      <c r="G447" s="23">
        <v>1.584</v>
      </c>
    </row>
    <row r="448" s="21" customFormat="1" ht="21.5" customHeight="1" spans="1:7">
      <c r="A448" s="3"/>
      <c r="B448" s="3">
        <v>2150</v>
      </c>
      <c r="C448" s="3" t="s">
        <v>2024</v>
      </c>
      <c r="D448" s="22" t="s">
        <v>2391</v>
      </c>
      <c r="E448" s="10" t="s">
        <v>2046</v>
      </c>
      <c r="F448" s="23" t="s">
        <v>1210</v>
      </c>
      <c r="G448" s="23">
        <v>3.5</v>
      </c>
    </row>
    <row r="449" s="21" customFormat="1" ht="21.5" customHeight="1" spans="1:7">
      <c r="A449" s="3" t="s">
        <v>2023</v>
      </c>
      <c r="B449" s="3">
        <v>2150</v>
      </c>
      <c r="C449" s="3"/>
      <c r="D449" s="22" t="s">
        <v>2392</v>
      </c>
      <c r="E449" s="10"/>
      <c r="F449" s="23" t="s">
        <v>1316</v>
      </c>
      <c r="G449" s="23">
        <v>2238</v>
      </c>
    </row>
    <row r="450" s="21" customFormat="1" ht="21.5" customHeight="1" spans="1:7">
      <c r="A450" s="3" t="s">
        <v>2026</v>
      </c>
      <c r="B450" s="3">
        <v>2150</v>
      </c>
      <c r="C450" s="3"/>
      <c r="D450" s="22" t="s">
        <v>2393</v>
      </c>
      <c r="E450" s="10" t="s">
        <v>2394</v>
      </c>
      <c r="F450" s="23" t="s">
        <v>1316</v>
      </c>
      <c r="G450" s="23">
        <v>1584</v>
      </c>
    </row>
    <row r="451" s="21" customFormat="1" ht="21.5" customHeight="1" spans="1:7">
      <c r="A451" s="3"/>
      <c r="B451" s="3"/>
      <c r="C451" s="3"/>
      <c r="D451" s="22"/>
      <c r="E451" s="10"/>
      <c r="F451" s="23"/>
      <c r="G451" s="23"/>
    </row>
    <row r="452" s="21" customFormat="1" ht="21.5" customHeight="1" spans="1:7">
      <c r="A452" s="36"/>
      <c r="B452" s="36"/>
      <c r="C452" s="36"/>
      <c r="D452" s="25" t="s">
        <v>34</v>
      </c>
      <c r="E452" s="37"/>
      <c r="F452" s="38"/>
      <c r="G452" s="38"/>
    </row>
    <row r="453" s="21" customFormat="1" ht="21.5" customHeight="1" spans="1:7">
      <c r="A453" s="3">
        <v>6</v>
      </c>
      <c r="B453" s="3"/>
      <c r="C453" s="3"/>
      <c r="D453" s="22" t="s">
        <v>2395</v>
      </c>
      <c r="E453" s="10"/>
      <c r="F453" s="23"/>
      <c r="G453" s="23"/>
    </row>
    <row r="454" s="21" customFormat="1" ht="21.5" customHeight="1" spans="1:7">
      <c r="A454" s="3">
        <v>6.1</v>
      </c>
      <c r="B454" s="3"/>
      <c r="C454" s="3"/>
      <c r="D454" s="22" t="s">
        <v>1974</v>
      </c>
      <c r="E454" s="10"/>
      <c r="F454" s="23"/>
      <c r="G454" s="23"/>
    </row>
    <row r="455" s="21" customFormat="1" ht="21.5" customHeight="1" spans="1:7">
      <c r="A455" s="3" t="s">
        <v>1975</v>
      </c>
      <c r="B455" s="3">
        <v>2153</v>
      </c>
      <c r="C455" s="3"/>
      <c r="D455" s="22" t="s">
        <v>1976</v>
      </c>
      <c r="E455" s="10" t="s">
        <v>1977</v>
      </c>
      <c r="F455" s="23" t="s">
        <v>26</v>
      </c>
      <c r="G455" s="23">
        <v>0</v>
      </c>
    </row>
    <row r="456" s="21" customFormat="1" ht="21.5" customHeight="1" spans="1:7">
      <c r="A456" s="3"/>
      <c r="B456" s="3">
        <v>2153</v>
      </c>
      <c r="C456" s="3"/>
      <c r="D456" s="22" t="s">
        <v>2048</v>
      </c>
      <c r="E456" s="10" t="s">
        <v>2396</v>
      </c>
      <c r="F456" s="23" t="s">
        <v>12</v>
      </c>
      <c r="G456" s="23">
        <v>2</v>
      </c>
    </row>
    <row r="457" s="21" customFormat="1" ht="21.5" customHeight="1" spans="1:7">
      <c r="A457" s="3"/>
      <c r="B457" s="3">
        <v>2153</v>
      </c>
      <c r="C457" s="3"/>
      <c r="D457" s="22" t="s">
        <v>1980</v>
      </c>
      <c r="E457" s="10" t="s">
        <v>2397</v>
      </c>
      <c r="F457" s="23" t="s">
        <v>826</v>
      </c>
      <c r="G457" s="23">
        <v>15</v>
      </c>
    </row>
    <row r="458" s="21" customFormat="1" ht="21.5" customHeight="1" spans="1:7">
      <c r="A458" s="3" t="s">
        <v>1982</v>
      </c>
      <c r="B458" s="3">
        <v>2153</v>
      </c>
      <c r="C458" s="3"/>
      <c r="D458" s="22" t="s">
        <v>1983</v>
      </c>
      <c r="E458" s="10" t="s">
        <v>2365</v>
      </c>
      <c r="F458" s="23" t="s">
        <v>23</v>
      </c>
      <c r="G458" s="35">
        <v>0</v>
      </c>
    </row>
    <row r="459" s="21" customFormat="1" ht="21.5" customHeight="1" spans="1:7">
      <c r="A459" s="3" t="s">
        <v>1985</v>
      </c>
      <c r="B459" s="3">
        <v>2153</v>
      </c>
      <c r="C459" s="3"/>
      <c r="D459" s="22" t="s">
        <v>1986</v>
      </c>
      <c r="E459" s="10" t="s">
        <v>2178</v>
      </c>
      <c r="F459" s="23" t="s">
        <v>1895</v>
      </c>
      <c r="G459" s="23">
        <v>2</v>
      </c>
    </row>
    <row r="460" s="21" customFormat="1" ht="21.5" customHeight="1" spans="1:7">
      <c r="A460" s="3"/>
      <c r="B460" s="3">
        <v>2153</v>
      </c>
      <c r="C460" s="3"/>
      <c r="D460" s="22" t="s">
        <v>1988</v>
      </c>
      <c r="E460" s="10" t="s">
        <v>1987</v>
      </c>
      <c r="F460" s="23" t="s">
        <v>1895</v>
      </c>
      <c r="G460" s="23">
        <v>1</v>
      </c>
    </row>
    <row r="461" s="21" customFormat="1" ht="21.5" customHeight="1" spans="1:7">
      <c r="A461" s="3" t="s">
        <v>1990</v>
      </c>
      <c r="B461" s="3">
        <v>2153</v>
      </c>
      <c r="C461" s="3"/>
      <c r="D461" s="22" t="s">
        <v>2179</v>
      </c>
      <c r="E461" s="10" t="s">
        <v>2398</v>
      </c>
      <c r="F461" s="23" t="s">
        <v>1895</v>
      </c>
      <c r="G461" s="23">
        <v>4</v>
      </c>
    </row>
    <row r="462" s="21" customFormat="1" ht="21.5" customHeight="1" spans="1:7">
      <c r="A462" s="3">
        <v>6.2</v>
      </c>
      <c r="B462" s="3">
        <v>2153</v>
      </c>
      <c r="C462" s="3"/>
      <c r="D462" s="22" t="s">
        <v>2009</v>
      </c>
      <c r="E462" s="10"/>
      <c r="F462" s="23"/>
      <c r="G462" s="23"/>
    </row>
    <row r="463" s="21" customFormat="1" ht="21.5" customHeight="1" spans="1:7">
      <c r="A463" s="3" t="s">
        <v>1975</v>
      </c>
      <c r="B463" s="3">
        <v>2153</v>
      </c>
      <c r="C463" s="3" t="s">
        <v>1843</v>
      </c>
      <c r="D463" s="22" t="s">
        <v>1843</v>
      </c>
      <c r="E463" s="10"/>
      <c r="F463" s="23"/>
      <c r="G463" s="23"/>
    </row>
    <row r="464" s="21" customFormat="1" ht="21.5" customHeight="1" spans="1:7">
      <c r="A464" s="3"/>
      <c r="B464" s="3">
        <v>2153</v>
      </c>
      <c r="C464" s="3" t="s">
        <v>1843</v>
      </c>
      <c r="D464" s="22" t="s">
        <v>1843</v>
      </c>
      <c r="E464" s="10" t="s">
        <v>2183</v>
      </c>
      <c r="F464" s="23" t="s">
        <v>826</v>
      </c>
      <c r="G464" s="23">
        <v>501</v>
      </c>
    </row>
    <row r="465" s="21" customFormat="1" ht="21.5" customHeight="1" spans="1:7">
      <c r="A465" s="3"/>
      <c r="B465" s="3">
        <v>2153</v>
      </c>
      <c r="C465" s="3" t="s">
        <v>1843</v>
      </c>
      <c r="D465" s="22" t="s">
        <v>1843</v>
      </c>
      <c r="E465" s="10" t="s">
        <v>2016</v>
      </c>
      <c r="F465" s="23" t="s">
        <v>826</v>
      </c>
      <c r="G465" s="23">
        <v>798</v>
      </c>
    </row>
    <row r="466" s="21" customFormat="1" ht="21.5" customHeight="1" spans="1:7">
      <c r="A466" s="3" t="s">
        <v>1982</v>
      </c>
      <c r="B466" s="3">
        <v>2153</v>
      </c>
      <c r="C466" s="3" t="s">
        <v>1970</v>
      </c>
      <c r="D466" s="22" t="s">
        <v>1970</v>
      </c>
      <c r="E466" s="10" t="s">
        <v>2022</v>
      </c>
      <c r="F466" s="23" t="s">
        <v>1210</v>
      </c>
      <c r="G466" s="23">
        <v>2.5</v>
      </c>
    </row>
    <row r="467" s="21" customFormat="1" ht="21.5" customHeight="1" spans="1:7">
      <c r="A467" s="3" t="s">
        <v>1985</v>
      </c>
      <c r="B467" s="3">
        <v>2153</v>
      </c>
      <c r="C467" s="3" t="s">
        <v>831</v>
      </c>
      <c r="D467" s="22" t="s">
        <v>2185</v>
      </c>
      <c r="E467" s="10" t="s">
        <v>2046</v>
      </c>
      <c r="F467" s="23" t="s">
        <v>1210</v>
      </c>
      <c r="G467" s="23">
        <v>4</v>
      </c>
    </row>
    <row r="468" s="21" customFormat="1" ht="21.5" customHeight="1" spans="1:7">
      <c r="A468" s="3" t="s">
        <v>1990</v>
      </c>
      <c r="B468" s="3">
        <v>2153</v>
      </c>
      <c r="C468" s="3" t="s">
        <v>2024</v>
      </c>
      <c r="D468" s="22" t="s">
        <v>2024</v>
      </c>
      <c r="E468" s="10" t="s">
        <v>2025</v>
      </c>
      <c r="F468" s="23" t="s">
        <v>1210</v>
      </c>
      <c r="G468" s="23">
        <v>2</v>
      </c>
    </row>
    <row r="469" s="21" customFormat="1" ht="21.5" customHeight="1" spans="1:7">
      <c r="A469" s="3"/>
      <c r="B469" s="3"/>
      <c r="C469" s="3"/>
      <c r="D469" s="22"/>
      <c r="E469" s="10"/>
      <c r="F469" s="23"/>
      <c r="G469" s="23"/>
    </row>
    <row r="470" s="21" customFormat="1" ht="21.5" customHeight="1" spans="1:7">
      <c r="A470" s="36"/>
      <c r="B470" s="36"/>
      <c r="C470" s="36"/>
      <c r="D470" s="25" t="s">
        <v>34</v>
      </c>
      <c r="E470" s="37"/>
      <c r="F470" s="38"/>
      <c r="G470" s="38"/>
    </row>
    <row r="471" s="21" customFormat="1" ht="21.5" customHeight="1" spans="1:7">
      <c r="A471" s="3">
        <v>7</v>
      </c>
      <c r="B471" s="3"/>
      <c r="C471" s="3"/>
      <c r="D471" s="22" t="s">
        <v>2399</v>
      </c>
      <c r="E471" s="10"/>
      <c r="F471" s="23"/>
      <c r="G471" s="23"/>
    </row>
    <row r="472" s="21" customFormat="1" ht="21.5" customHeight="1" spans="1:7">
      <c r="A472" s="3" t="s">
        <v>2400</v>
      </c>
      <c r="B472" s="3"/>
      <c r="C472" s="3"/>
      <c r="D472" s="22" t="s">
        <v>1092</v>
      </c>
      <c r="E472" s="10"/>
      <c r="F472" s="23"/>
      <c r="G472" s="23"/>
    </row>
    <row r="473" s="21" customFormat="1" ht="21.5" customHeight="1" spans="1:7">
      <c r="A473" s="3">
        <v>7.1</v>
      </c>
      <c r="B473" s="27" t="s">
        <v>1213</v>
      </c>
      <c r="C473" s="3"/>
      <c r="D473" s="22" t="s">
        <v>1974</v>
      </c>
      <c r="E473" s="10"/>
      <c r="F473" s="23"/>
      <c r="G473" s="23"/>
    </row>
    <row r="474" s="21" customFormat="1" ht="21.5" customHeight="1" spans="1:7">
      <c r="A474" s="3" t="s">
        <v>2113</v>
      </c>
      <c r="B474" s="27" t="s">
        <v>1213</v>
      </c>
      <c r="C474" s="3"/>
      <c r="D474" s="22" t="s">
        <v>2067</v>
      </c>
      <c r="E474" s="10"/>
      <c r="F474" s="23"/>
      <c r="G474" s="23"/>
    </row>
    <row r="475" s="21" customFormat="1" ht="21.5" customHeight="1" spans="1:7">
      <c r="A475" s="3"/>
      <c r="B475" s="27" t="s">
        <v>1213</v>
      </c>
      <c r="C475" s="3"/>
      <c r="D475" s="22" t="s">
        <v>1898</v>
      </c>
      <c r="E475" s="10" t="s">
        <v>2193</v>
      </c>
      <c r="F475" s="23" t="s">
        <v>26</v>
      </c>
      <c r="G475" s="23">
        <v>1</v>
      </c>
    </row>
    <row r="476" s="21" customFormat="1" ht="21.5" customHeight="1" spans="1:7">
      <c r="A476" s="3"/>
      <c r="B476" s="27" t="s">
        <v>1213</v>
      </c>
      <c r="C476" s="3"/>
      <c r="D476" s="22" t="s">
        <v>2401</v>
      </c>
      <c r="E476" s="10" t="s">
        <v>2402</v>
      </c>
      <c r="F476" s="23" t="s">
        <v>26</v>
      </c>
      <c r="G476" s="23">
        <v>2</v>
      </c>
    </row>
    <row r="477" s="21" customFormat="1" ht="21.5" customHeight="1" spans="1:7">
      <c r="A477" s="3"/>
      <c r="B477" s="27" t="s">
        <v>1213</v>
      </c>
      <c r="C477" s="3"/>
      <c r="D477" s="22" t="s">
        <v>1902</v>
      </c>
      <c r="E477" s="10" t="s">
        <v>2403</v>
      </c>
      <c r="F477" s="23" t="s">
        <v>26</v>
      </c>
      <c r="G477" s="23">
        <v>3</v>
      </c>
    </row>
    <row r="478" s="21" customFormat="1" ht="21.5" customHeight="1" spans="1:7">
      <c r="A478" s="3"/>
      <c r="B478" s="27" t="s">
        <v>1213</v>
      </c>
      <c r="C478" s="3"/>
      <c r="D478" s="22" t="s">
        <v>2404</v>
      </c>
      <c r="E478" s="10" t="s">
        <v>2405</v>
      </c>
      <c r="F478" s="23" t="s">
        <v>26</v>
      </c>
      <c r="G478" s="23">
        <v>2</v>
      </c>
    </row>
    <row r="479" s="21" customFormat="1" ht="21.5" customHeight="1" spans="1:7">
      <c r="A479" s="3"/>
      <c r="B479" s="27" t="s">
        <v>1213</v>
      </c>
      <c r="C479" s="3"/>
      <c r="D479" s="22" t="s">
        <v>2380</v>
      </c>
      <c r="E479" s="10" t="s">
        <v>2406</v>
      </c>
      <c r="F479" s="23" t="s">
        <v>26</v>
      </c>
      <c r="G479" s="23">
        <v>2</v>
      </c>
    </row>
    <row r="480" s="21" customFormat="1" ht="21.5" customHeight="1" spans="1:7">
      <c r="A480" s="3"/>
      <c r="B480" s="27" t="s">
        <v>1213</v>
      </c>
      <c r="C480" s="3"/>
      <c r="D480" s="22" t="s">
        <v>2407</v>
      </c>
      <c r="E480" s="10" t="s">
        <v>2408</v>
      </c>
      <c r="F480" s="23" t="s">
        <v>26</v>
      </c>
      <c r="G480" s="23">
        <v>2</v>
      </c>
    </row>
    <row r="481" s="21" customFormat="1" ht="21.5" customHeight="1" spans="1:7">
      <c r="A481" s="3" t="s">
        <v>113</v>
      </c>
      <c r="B481" s="27" t="s">
        <v>1213</v>
      </c>
      <c r="C481" s="3"/>
      <c r="D481" s="22" t="s">
        <v>2409</v>
      </c>
      <c r="E481" s="10"/>
      <c r="F481" s="23"/>
      <c r="G481" s="23"/>
    </row>
    <row r="482" s="21" customFormat="1" ht="21.5" customHeight="1" spans="1:7">
      <c r="A482" s="3"/>
      <c r="B482" s="27" t="s">
        <v>1213</v>
      </c>
      <c r="C482" s="3"/>
      <c r="D482" s="22" t="s">
        <v>2115</v>
      </c>
      <c r="E482" s="10" t="s">
        <v>2410</v>
      </c>
      <c r="F482" s="23" t="s">
        <v>1895</v>
      </c>
      <c r="G482" s="23">
        <v>1</v>
      </c>
    </row>
    <row r="483" s="21" customFormat="1" ht="21.5" customHeight="1" spans="1:7">
      <c r="A483" s="3"/>
      <c r="B483" s="27" t="s">
        <v>1213</v>
      </c>
      <c r="C483" s="3"/>
      <c r="D483" s="22" t="s">
        <v>2130</v>
      </c>
      <c r="E483" s="10" t="s">
        <v>2411</v>
      </c>
      <c r="F483" s="23" t="s">
        <v>1895</v>
      </c>
      <c r="G483" s="23">
        <v>8</v>
      </c>
    </row>
    <row r="484" s="21" customFormat="1" ht="21.5" customHeight="1" spans="1:7">
      <c r="A484" s="3"/>
      <c r="B484" s="27" t="s">
        <v>1213</v>
      </c>
      <c r="C484" s="3"/>
      <c r="D484" s="22" t="s">
        <v>2057</v>
      </c>
      <c r="E484" s="10" t="s">
        <v>2376</v>
      </c>
      <c r="F484" s="23" t="s">
        <v>12</v>
      </c>
      <c r="G484" s="23">
        <v>2</v>
      </c>
    </row>
    <row r="485" s="21" customFormat="1" ht="21.5" customHeight="1" spans="1:7">
      <c r="A485" s="3" t="s">
        <v>1982</v>
      </c>
      <c r="B485" s="27" t="s">
        <v>1213</v>
      </c>
      <c r="C485" s="3"/>
      <c r="D485" s="22" t="s">
        <v>2412</v>
      </c>
      <c r="E485" s="10" t="s">
        <v>2413</v>
      </c>
      <c r="F485" s="23" t="s">
        <v>12</v>
      </c>
      <c r="G485" s="23">
        <v>1</v>
      </c>
    </row>
    <row r="486" s="21" customFormat="1" ht="21.5" customHeight="1" spans="1:7">
      <c r="A486" s="3">
        <v>7.2</v>
      </c>
      <c r="B486" s="27" t="s">
        <v>1213</v>
      </c>
      <c r="C486" s="3"/>
      <c r="D486" s="22" t="s">
        <v>2009</v>
      </c>
      <c r="E486" s="10"/>
      <c r="F486" s="23"/>
      <c r="G486" s="23"/>
    </row>
    <row r="487" s="21" customFormat="1" ht="21.5" customHeight="1" spans="1:7">
      <c r="A487" s="3" t="s">
        <v>1975</v>
      </c>
      <c r="B487" s="27" t="s">
        <v>1213</v>
      </c>
      <c r="C487" s="3" t="s">
        <v>1843</v>
      </c>
      <c r="D487" s="22" t="s">
        <v>1843</v>
      </c>
      <c r="E487" s="10"/>
      <c r="F487" s="23"/>
      <c r="G487" s="23"/>
    </row>
    <row r="488" s="21" customFormat="1" ht="21.5" customHeight="1" spans="1:7">
      <c r="A488" s="3"/>
      <c r="B488" s="27" t="s">
        <v>1213</v>
      </c>
      <c r="C488" s="3" t="s">
        <v>1843</v>
      </c>
      <c r="D488" s="22" t="s">
        <v>1843</v>
      </c>
      <c r="E488" s="10" t="s">
        <v>2062</v>
      </c>
      <c r="F488" s="23" t="s">
        <v>826</v>
      </c>
      <c r="G488" s="23">
        <v>11520</v>
      </c>
    </row>
    <row r="489" s="21" customFormat="1" ht="21.5" customHeight="1" spans="1:7">
      <c r="A489" s="3"/>
      <c r="B489" s="27" t="s">
        <v>1213</v>
      </c>
      <c r="C489" s="3" t="s">
        <v>1843</v>
      </c>
      <c r="D489" s="22" t="s">
        <v>1843</v>
      </c>
      <c r="E489" s="10" t="s">
        <v>2414</v>
      </c>
      <c r="F489" s="23" t="s">
        <v>826</v>
      </c>
      <c r="G489" s="23">
        <v>600</v>
      </c>
    </row>
    <row r="490" s="21" customFormat="1" ht="21.5" customHeight="1" spans="1:7">
      <c r="A490" s="3"/>
      <c r="B490" s="27" t="s">
        <v>1213</v>
      </c>
      <c r="C490" s="3" t="s">
        <v>1843</v>
      </c>
      <c r="D490" s="22" t="s">
        <v>1843</v>
      </c>
      <c r="E490" s="10" t="s">
        <v>2100</v>
      </c>
      <c r="F490" s="23" t="s">
        <v>826</v>
      </c>
      <c r="G490" s="23">
        <v>280</v>
      </c>
    </row>
    <row r="491" s="21" customFormat="1" ht="21.5" customHeight="1" spans="1:7">
      <c r="A491" s="3"/>
      <c r="B491" s="27" t="s">
        <v>1213</v>
      </c>
      <c r="C491" s="3" t="s">
        <v>1843</v>
      </c>
      <c r="D491" s="22" t="s">
        <v>1843</v>
      </c>
      <c r="E491" s="10" t="s">
        <v>2018</v>
      </c>
      <c r="F491" s="23" t="s">
        <v>826</v>
      </c>
      <c r="G491" s="23">
        <v>365</v>
      </c>
    </row>
    <row r="492" s="21" customFormat="1" ht="21.5" customHeight="1" spans="1:7">
      <c r="A492" s="3"/>
      <c r="B492" s="27" t="s">
        <v>1213</v>
      </c>
      <c r="C492" s="3" t="s">
        <v>1843</v>
      </c>
      <c r="D492" s="22" t="s">
        <v>1843</v>
      </c>
      <c r="E492" s="10" t="s">
        <v>2157</v>
      </c>
      <c r="F492" s="23" t="s">
        <v>826</v>
      </c>
      <c r="G492" s="23">
        <v>584</v>
      </c>
    </row>
    <row r="493" s="21" customFormat="1" ht="21.5" customHeight="1" spans="1:7">
      <c r="A493" s="3" t="s">
        <v>1982</v>
      </c>
      <c r="B493" s="27" t="s">
        <v>1213</v>
      </c>
      <c r="C493" s="3" t="s">
        <v>1847</v>
      </c>
      <c r="D493" s="22" t="s">
        <v>1847</v>
      </c>
      <c r="E493" s="10"/>
      <c r="F493" s="23"/>
      <c r="G493" s="23"/>
    </row>
    <row r="494" s="21" customFormat="1" ht="21.5" customHeight="1" spans="1:7">
      <c r="A494" s="3"/>
      <c r="B494" s="27" t="s">
        <v>1213</v>
      </c>
      <c r="C494" s="3" t="s">
        <v>1847</v>
      </c>
      <c r="D494" s="22" t="s">
        <v>1847</v>
      </c>
      <c r="E494" s="10" t="s">
        <v>2415</v>
      </c>
      <c r="F494" s="23" t="s">
        <v>826</v>
      </c>
      <c r="G494" s="23">
        <v>12024</v>
      </c>
    </row>
    <row r="495" s="21" customFormat="1" ht="21.5" customHeight="1" spans="1:7">
      <c r="A495" s="3"/>
      <c r="B495" s="27" t="s">
        <v>1213</v>
      </c>
      <c r="C495" s="3" t="s">
        <v>1847</v>
      </c>
      <c r="D495" s="22" t="s">
        <v>1847</v>
      </c>
      <c r="E495" s="10" t="s">
        <v>2416</v>
      </c>
      <c r="F495" s="23" t="s">
        <v>826</v>
      </c>
      <c r="G495" s="23">
        <v>8928</v>
      </c>
    </row>
    <row r="496" s="21" customFormat="1" ht="21.5" customHeight="1" spans="1:7">
      <c r="A496" s="3" t="s">
        <v>1985</v>
      </c>
      <c r="B496" s="27" t="s">
        <v>1213</v>
      </c>
      <c r="C496" s="3" t="s">
        <v>1970</v>
      </c>
      <c r="D496" s="22" t="s">
        <v>1970</v>
      </c>
      <c r="E496" s="10" t="s">
        <v>2022</v>
      </c>
      <c r="F496" s="23" t="s">
        <v>1210</v>
      </c>
      <c r="G496" s="23">
        <v>11.5</v>
      </c>
    </row>
    <row r="497" s="21" customFormat="1" ht="21.5" customHeight="1" spans="1:7">
      <c r="A497" s="3" t="s">
        <v>1990</v>
      </c>
      <c r="B497" s="27" t="s">
        <v>1213</v>
      </c>
      <c r="C497" s="3" t="s">
        <v>831</v>
      </c>
      <c r="D497" s="22" t="s">
        <v>2045</v>
      </c>
      <c r="E497" s="10" t="s">
        <v>2046</v>
      </c>
      <c r="F497" s="23" t="s">
        <v>1210</v>
      </c>
      <c r="G497" s="23">
        <v>5.5</v>
      </c>
    </row>
    <row r="498" s="21" customFormat="1" ht="21.5" customHeight="1" spans="1:7">
      <c r="A498" s="3" t="s">
        <v>2023</v>
      </c>
      <c r="B498" s="27" t="s">
        <v>1213</v>
      </c>
      <c r="C498" s="3" t="s">
        <v>2024</v>
      </c>
      <c r="D498" s="22" t="s">
        <v>2024</v>
      </c>
      <c r="E498" s="10" t="s">
        <v>2025</v>
      </c>
      <c r="F498" s="23" t="s">
        <v>1210</v>
      </c>
      <c r="G498" s="23">
        <v>6.2</v>
      </c>
    </row>
    <row r="499" s="21" customFormat="1" ht="21.5" customHeight="1" spans="1:7">
      <c r="A499" s="3" t="s">
        <v>2026</v>
      </c>
      <c r="B499" s="27" t="s">
        <v>1213</v>
      </c>
      <c r="C499" s="3"/>
      <c r="D499" s="22" t="s">
        <v>2417</v>
      </c>
      <c r="E499" s="10"/>
      <c r="F499" s="23" t="s">
        <v>1316</v>
      </c>
      <c r="G499" s="23">
        <v>840</v>
      </c>
    </row>
    <row r="500" s="21" customFormat="1" ht="21.5" customHeight="1" spans="1:7">
      <c r="A500" s="3" t="s">
        <v>2004</v>
      </c>
      <c r="B500" s="27" t="s">
        <v>1213</v>
      </c>
      <c r="C500" s="3"/>
      <c r="D500" s="22" t="s">
        <v>2392</v>
      </c>
      <c r="E500" s="10"/>
      <c r="F500" s="23" t="s">
        <v>1316</v>
      </c>
      <c r="G500" s="23">
        <v>2400</v>
      </c>
    </row>
    <row r="501" s="21" customFormat="1" ht="21.5" customHeight="1" spans="1:7">
      <c r="A501" s="3"/>
      <c r="B501" s="27" t="s">
        <v>1213</v>
      </c>
      <c r="C501" s="3"/>
      <c r="D501" s="22"/>
      <c r="E501" s="10"/>
      <c r="F501" s="23"/>
      <c r="G501" s="23"/>
    </row>
    <row r="502" s="21" customFormat="1" ht="21.5" customHeight="1" spans="1:7">
      <c r="A502" s="3" t="s">
        <v>2418</v>
      </c>
      <c r="B502" s="27" t="s">
        <v>1213</v>
      </c>
      <c r="C502" s="3"/>
      <c r="D502" s="22" t="s">
        <v>2419</v>
      </c>
      <c r="E502" s="10"/>
      <c r="F502" s="23"/>
      <c r="G502" s="23"/>
    </row>
    <row r="503" s="21" customFormat="1" ht="21.5" customHeight="1" spans="1:7">
      <c r="A503" s="3" t="s">
        <v>2420</v>
      </c>
      <c r="B503" s="27" t="s">
        <v>1213</v>
      </c>
      <c r="C503" s="3"/>
      <c r="D503" s="22" t="s">
        <v>1974</v>
      </c>
      <c r="E503" s="10"/>
      <c r="F503" s="23"/>
      <c r="G503" s="23"/>
    </row>
    <row r="504" s="21" customFormat="1" ht="21.5" customHeight="1" spans="1:7">
      <c r="A504" s="3" t="s">
        <v>2113</v>
      </c>
      <c r="B504" s="27" t="s">
        <v>1213</v>
      </c>
      <c r="C504" s="3"/>
      <c r="D504" s="22" t="s">
        <v>2067</v>
      </c>
      <c r="E504" s="10"/>
      <c r="F504" s="23"/>
      <c r="G504" s="23"/>
    </row>
    <row r="505" s="21" customFormat="1" ht="21.5" customHeight="1" spans="1:7">
      <c r="A505" s="3"/>
      <c r="B505" s="27" t="s">
        <v>1213</v>
      </c>
      <c r="C505" s="3"/>
      <c r="D505" s="22" t="s">
        <v>1900</v>
      </c>
      <c r="E505" s="10" t="s">
        <v>2069</v>
      </c>
      <c r="F505" s="23" t="s">
        <v>26</v>
      </c>
      <c r="G505" s="23">
        <v>1</v>
      </c>
    </row>
    <row r="506" s="21" customFormat="1" ht="21.5" customHeight="1" spans="1:7">
      <c r="A506" s="3"/>
      <c r="B506" s="27" t="s">
        <v>1213</v>
      </c>
      <c r="C506" s="3"/>
      <c r="D506" s="22" t="s">
        <v>1898</v>
      </c>
      <c r="E506" s="10" t="s">
        <v>2421</v>
      </c>
      <c r="F506" s="23" t="s">
        <v>26</v>
      </c>
      <c r="G506" s="23">
        <v>1</v>
      </c>
    </row>
    <row r="507" s="21" customFormat="1" ht="21.5" customHeight="1" spans="1:7">
      <c r="A507" s="3"/>
      <c r="B507" s="27" t="s">
        <v>1213</v>
      </c>
      <c r="C507" s="3"/>
      <c r="D507" s="22" t="s">
        <v>1902</v>
      </c>
      <c r="E507" s="10" t="s">
        <v>2070</v>
      </c>
      <c r="F507" s="23" t="s">
        <v>26</v>
      </c>
      <c r="G507" s="23">
        <v>1</v>
      </c>
    </row>
    <row r="508" s="21" customFormat="1" ht="21.5" customHeight="1" spans="1:7">
      <c r="A508" s="3"/>
      <c r="B508" s="27" t="s">
        <v>1213</v>
      </c>
      <c r="C508" s="3"/>
      <c r="D508" s="22" t="s">
        <v>2380</v>
      </c>
      <c r="E508" s="10" t="s">
        <v>2422</v>
      </c>
      <c r="F508" s="23" t="s">
        <v>26</v>
      </c>
      <c r="G508" s="23">
        <v>1</v>
      </c>
    </row>
    <row r="509" s="21" customFormat="1" ht="21.5" customHeight="1" spans="1:7">
      <c r="A509" s="3" t="s">
        <v>1975</v>
      </c>
      <c r="B509" s="27" t="s">
        <v>1213</v>
      </c>
      <c r="C509" s="3"/>
      <c r="D509" s="22" t="s">
        <v>2115</v>
      </c>
      <c r="E509" s="10" t="s">
        <v>2410</v>
      </c>
      <c r="F509" s="23" t="s">
        <v>1895</v>
      </c>
      <c r="G509" s="23">
        <v>1</v>
      </c>
    </row>
    <row r="510" s="21" customFormat="1" ht="21.5" customHeight="1" spans="1:7">
      <c r="A510" s="3" t="s">
        <v>1982</v>
      </c>
      <c r="B510" s="27" t="s">
        <v>1213</v>
      </c>
      <c r="C510" s="3"/>
      <c r="D510" s="22" t="s">
        <v>2074</v>
      </c>
      <c r="E510" s="10" t="s">
        <v>2411</v>
      </c>
      <c r="F510" s="23" t="s">
        <v>1895</v>
      </c>
      <c r="G510" s="23">
        <v>3</v>
      </c>
    </row>
    <row r="511" s="21" customFormat="1" ht="21.5" customHeight="1" spans="1:7">
      <c r="A511" s="3"/>
      <c r="B511" s="27" t="s">
        <v>1213</v>
      </c>
      <c r="C511" s="3"/>
      <c r="D511" s="22" t="s">
        <v>2054</v>
      </c>
      <c r="E511" s="10" t="s">
        <v>2147</v>
      </c>
      <c r="F511" s="23" t="s">
        <v>12</v>
      </c>
      <c r="G511" s="23">
        <v>2</v>
      </c>
    </row>
    <row r="512" s="21" customFormat="1" ht="21.5" customHeight="1" spans="1:7">
      <c r="A512" s="3"/>
      <c r="B512" s="27" t="s">
        <v>1213</v>
      </c>
      <c r="C512" s="3"/>
      <c r="D512" s="22" t="s">
        <v>2054</v>
      </c>
      <c r="E512" s="10" t="s">
        <v>2056</v>
      </c>
      <c r="F512" s="23" t="s">
        <v>12</v>
      </c>
      <c r="G512" s="23">
        <v>2</v>
      </c>
    </row>
    <row r="513" s="21" customFormat="1" ht="21.5" customHeight="1" spans="1:7">
      <c r="A513" s="3" t="s">
        <v>1985</v>
      </c>
      <c r="B513" s="27" t="s">
        <v>1213</v>
      </c>
      <c r="C513" s="3"/>
      <c r="D513" s="22" t="s">
        <v>2423</v>
      </c>
      <c r="E513" s="10" t="s">
        <v>2424</v>
      </c>
      <c r="F513" s="23" t="s">
        <v>1895</v>
      </c>
      <c r="G513" s="23">
        <v>1</v>
      </c>
    </row>
    <row r="514" s="21" customFormat="1" ht="21.5" customHeight="1" spans="1:7">
      <c r="A514" s="3" t="s">
        <v>2425</v>
      </c>
      <c r="B514" s="27" t="s">
        <v>1213</v>
      </c>
      <c r="C514" s="3"/>
      <c r="D514" s="22" t="s">
        <v>2009</v>
      </c>
      <c r="E514" s="10"/>
      <c r="F514" s="23"/>
      <c r="G514" s="23"/>
    </row>
    <row r="515" s="21" customFormat="1" ht="21.5" customHeight="1" spans="1:7">
      <c r="A515" s="3" t="s">
        <v>1975</v>
      </c>
      <c r="B515" s="27" t="s">
        <v>1213</v>
      </c>
      <c r="C515" s="3" t="s">
        <v>1843</v>
      </c>
      <c r="D515" s="22" t="s">
        <v>2426</v>
      </c>
      <c r="E515" s="10" t="s">
        <v>2427</v>
      </c>
      <c r="F515" s="23" t="s">
        <v>1462</v>
      </c>
      <c r="G515" s="23">
        <v>94</v>
      </c>
    </row>
    <row r="516" s="21" customFormat="1" ht="21.5" customHeight="1" spans="1:7">
      <c r="A516" s="3"/>
      <c r="B516" s="27" t="s">
        <v>1213</v>
      </c>
      <c r="C516" s="3" t="s">
        <v>1843</v>
      </c>
      <c r="D516" s="22" t="s">
        <v>2426</v>
      </c>
      <c r="E516" s="10" t="s">
        <v>2428</v>
      </c>
      <c r="F516" s="23" t="s">
        <v>1462</v>
      </c>
      <c r="G516" s="23">
        <v>144</v>
      </c>
    </row>
    <row r="517" s="21" customFormat="1" ht="21.5" customHeight="1" spans="1:7">
      <c r="A517" s="3"/>
      <c r="B517" s="27" t="s">
        <v>1213</v>
      </c>
      <c r="C517" s="3" t="s">
        <v>1843</v>
      </c>
      <c r="D517" s="22" t="s">
        <v>2426</v>
      </c>
      <c r="E517" s="10" t="s">
        <v>2429</v>
      </c>
      <c r="F517" s="23" t="s">
        <v>1462</v>
      </c>
      <c r="G517" s="23">
        <v>46</v>
      </c>
    </row>
    <row r="518" s="21" customFormat="1" ht="21.5" customHeight="1" spans="1:7">
      <c r="A518" s="3"/>
      <c r="B518" s="27" t="s">
        <v>1213</v>
      </c>
      <c r="C518" s="3" t="s">
        <v>1843</v>
      </c>
      <c r="D518" s="22" t="s">
        <v>2426</v>
      </c>
      <c r="E518" s="10" t="s">
        <v>2430</v>
      </c>
      <c r="F518" s="23" t="s">
        <v>1462</v>
      </c>
      <c r="G518" s="23">
        <v>92</v>
      </c>
    </row>
    <row r="519" s="21" customFormat="1" ht="21.5" customHeight="1" spans="1:7">
      <c r="A519" s="3"/>
      <c r="B519" s="27" t="s">
        <v>1213</v>
      </c>
      <c r="C519" s="3" t="s">
        <v>1843</v>
      </c>
      <c r="D519" s="22" t="s">
        <v>2426</v>
      </c>
      <c r="E519" s="10" t="s">
        <v>2431</v>
      </c>
      <c r="F519" s="23" t="s">
        <v>1462</v>
      </c>
      <c r="G519" s="23">
        <v>288</v>
      </c>
    </row>
    <row r="520" s="21" customFormat="1" ht="21.5" customHeight="1" spans="1:7">
      <c r="A520" s="3"/>
      <c r="B520" s="27" t="s">
        <v>1213</v>
      </c>
      <c r="C520" s="3" t="s">
        <v>1843</v>
      </c>
      <c r="D520" s="22" t="s">
        <v>2426</v>
      </c>
      <c r="E520" s="10" t="s">
        <v>2432</v>
      </c>
      <c r="F520" s="23" t="s">
        <v>1462</v>
      </c>
      <c r="G520" s="23">
        <v>288</v>
      </c>
    </row>
    <row r="521" s="21" customFormat="1" ht="21.5" customHeight="1" spans="1:7">
      <c r="A521" s="3"/>
      <c r="B521" s="27" t="s">
        <v>1213</v>
      </c>
      <c r="C521" s="3" t="s">
        <v>1843</v>
      </c>
      <c r="D521" s="22" t="s">
        <v>2426</v>
      </c>
      <c r="E521" s="10" t="s">
        <v>2433</v>
      </c>
      <c r="F521" s="23" t="s">
        <v>1462</v>
      </c>
      <c r="G521" s="23">
        <v>144</v>
      </c>
    </row>
    <row r="522" s="21" customFormat="1" ht="21.5" customHeight="1" spans="1:7">
      <c r="A522" s="3"/>
      <c r="B522" s="27" t="s">
        <v>1213</v>
      </c>
      <c r="C522" s="3" t="s">
        <v>1843</v>
      </c>
      <c r="D522" s="22" t="s">
        <v>2426</v>
      </c>
      <c r="E522" s="10" t="s">
        <v>2434</v>
      </c>
      <c r="F522" s="23" t="s">
        <v>1462</v>
      </c>
      <c r="G522" s="23">
        <v>144</v>
      </c>
    </row>
    <row r="523" s="21" customFormat="1" ht="21.5" customHeight="1" spans="1:7">
      <c r="A523" s="3"/>
      <c r="B523" s="27" t="s">
        <v>1213</v>
      </c>
      <c r="C523" s="3" t="s">
        <v>1843</v>
      </c>
      <c r="D523" s="22" t="s">
        <v>2426</v>
      </c>
      <c r="E523" s="10" t="s">
        <v>2435</v>
      </c>
      <c r="F523" s="23" t="s">
        <v>1462</v>
      </c>
      <c r="G523" s="23">
        <v>1296</v>
      </c>
    </row>
    <row r="524" s="21" customFormat="1" ht="21.5" customHeight="1" spans="1:7">
      <c r="A524" s="3" t="s">
        <v>1982</v>
      </c>
      <c r="B524" s="27" t="s">
        <v>1213</v>
      </c>
      <c r="C524" s="3" t="s">
        <v>1847</v>
      </c>
      <c r="D524" s="22" t="s">
        <v>2436</v>
      </c>
      <c r="E524" s="10" t="s">
        <v>2437</v>
      </c>
      <c r="F524" s="23" t="s">
        <v>1462</v>
      </c>
      <c r="G524" s="23">
        <v>1980</v>
      </c>
    </row>
    <row r="525" s="21" customFormat="1" ht="21.5" customHeight="1" spans="1:7">
      <c r="A525" s="3"/>
      <c r="B525" s="27" t="s">
        <v>1213</v>
      </c>
      <c r="C525" s="3" t="s">
        <v>1847</v>
      </c>
      <c r="D525" s="22" t="s">
        <v>2436</v>
      </c>
      <c r="E525" s="10" t="s">
        <v>2438</v>
      </c>
      <c r="F525" s="23" t="s">
        <v>1462</v>
      </c>
      <c r="G525" s="23">
        <v>1380</v>
      </c>
    </row>
    <row r="526" s="21" customFormat="1" ht="21.5" customHeight="1" spans="1:7">
      <c r="A526" s="3" t="s">
        <v>1985</v>
      </c>
      <c r="B526" s="27" t="s">
        <v>1213</v>
      </c>
      <c r="C526" s="3" t="s">
        <v>1970</v>
      </c>
      <c r="D526" s="22" t="s">
        <v>2439</v>
      </c>
      <c r="E526" s="10" t="s">
        <v>2046</v>
      </c>
      <c r="F526" s="23" t="s">
        <v>1210</v>
      </c>
      <c r="G526" s="23">
        <v>1</v>
      </c>
    </row>
    <row r="527" s="21" customFormat="1" ht="21.5" customHeight="1" spans="1:7">
      <c r="A527" s="3"/>
      <c r="B527" s="27" t="s">
        <v>1213</v>
      </c>
      <c r="C527" s="3" t="s">
        <v>831</v>
      </c>
      <c r="D527" s="22" t="s">
        <v>2185</v>
      </c>
      <c r="E527" s="10" t="s">
        <v>2046</v>
      </c>
      <c r="F527" s="23" t="s">
        <v>1210</v>
      </c>
      <c r="G527" s="23">
        <v>1.2</v>
      </c>
    </row>
    <row r="528" s="21" customFormat="1" ht="21.5" customHeight="1" spans="1:7">
      <c r="A528" s="3"/>
      <c r="B528" s="27" t="s">
        <v>1213</v>
      </c>
      <c r="C528" s="3" t="s">
        <v>2024</v>
      </c>
      <c r="D528" s="22" t="s">
        <v>2391</v>
      </c>
      <c r="E528" s="10" t="s">
        <v>2440</v>
      </c>
      <c r="F528" s="23" t="s">
        <v>1210</v>
      </c>
      <c r="G528" s="23">
        <v>1</v>
      </c>
    </row>
    <row r="529" s="21" customFormat="1" ht="21.5" customHeight="1" spans="1:7">
      <c r="A529" s="3" t="s">
        <v>1990</v>
      </c>
      <c r="B529" s="27" t="s">
        <v>1213</v>
      </c>
      <c r="C529" s="3"/>
      <c r="D529" s="22" t="s">
        <v>2441</v>
      </c>
      <c r="E529" s="10"/>
      <c r="F529" s="23" t="s">
        <v>1316</v>
      </c>
      <c r="G529" s="23">
        <v>513</v>
      </c>
    </row>
    <row r="530" s="21" customFormat="1" ht="21.5" customHeight="1" spans="1:7">
      <c r="A530" s="3" t="s">
        <v>2023</v>
      </c>
      <c r="B530" s="27" t="s">
        <v>1213</v>
      </c>
      <c r="C530" s="3"/>
      <c r="D530" s="22" t="s">
        <v>2392</v>
      </c>
      <c r="E530" s="10"/>
      <c r="F530" s="23" t="s">
        <v>1316</v>
      </c>
      <c r="G530" s="23">
        <v>513</v>
      </c>
    </row>
    <row r="531" s="21" customFormat="1" ht="21.5" customHeight="1" spans="1:7">
      <c r="A531" s="3"/>
      <c r="B531" s="3"/>
      <c r="C531" s="3"/>
      <c r="D531" s="22"/>
      <c r="E531" s="10"/>
      <c r="F531" s="23"/>
      <c r="G531" s="23"/>
    </row>
    <row r="532" s="21" customFormat="1" ht="21.5" customHeight="1" spans="1:7">
      <c r="A532" s="36"/>
      <c r="B532" s="36"/>
      <c r="C532" s="36"/>
      <c r="D532" s="25" t="s">
        <v>34</v>
      </c>
      <c r="E532" s="37"/>
      <c r="F532" s="38"/>
      <c r="G532" s="38"/>
    </row>
    <row r="533" s="21" customFormat="1" ht="21.5" customHeight="1" spans="1:7">
      <c r="A533" s="3" t="s">
        <v>2442</v>
      </c>
      <c r="B533" s="3"/>
      <c r="C533" s="3"/>
      <c r="D533" s="22" t="s">
        <v>2443</v>
      </c>
      <c r="E533" s="10"/>
      <c r="F533" s="23"/>
      <c r="G533" s="23"/>
    </row>
    <row r="534" s="21" customFormat="1" ht="21.5" customHeight="1" spans="1:7">
      <c r="A534" s="3">
        <v>7.1</v>
      </c>
      <c r="B534" s="3"/>
      <c r="C534" s="3"/>
      <c r="D534" s="22" t="s">
        <v>1974</v>
      </c>
      <c r="E534" s="10"/>
      <c r="F534" s="23"/>
      <c r="G534" s="23"/>
    </row>
    <row r="535" s="21" customFormat="1" ht="21.5" customHeight="1" spans="1:7">
      <c r="A535" s="3" t="s">
        <v>2113</v>
      </c>
      <c r="B535" s="27" t="s">
        <v>1322</v>
      </c>
      <c r="C535" s="3"/>
      <c r="D535" s="22" t="s">
        <v>2067</v>
      </c>
      <c r="E535" s="10"/>
      <c r="F535" s="23"/>
      <c r="G535" s="23"/>
    </row>
    <row r="536" s="21" customFormat="1" ht="21.5" customHeight="1" spans="1:7">
      <c r="A536" s="3"/>
      <c r="B536" s="27" t="s">
        <v>1322</v>
      </c>
      <c r="C536" s="3"/>
      <c r="D536" s="22" t="s">
        <v>1898</v>
      </c>
      <c r="E536" s="10" t="s">
        <v>2422</v>
      </c>
      <c r="F536" s="23" t="s">
        <v>26</v>
      </c>
      <c r="G536" s="23">
        <v>3</v>
      </c>
    </row>
    <row r="537" s="21" customFormat="1" ht="21.5" customHeight="1" spans="1:7">
      <c r="A537" s="3"/>
      <c r="B537" s="27" t="s">
        <v>1322</v>
      </c>
      <c r="C537" s="3"/>
      <c r="D537" s="22" t="s">
        <v>1902</v>
      </c>
      <c r="E537" s="10" t="s">
        <v>2070</v>
      </c>
      <c r="F537" s="23" t="s">
        <v>26</v>
      </c>
      <c r="G537" s="23">
        <v>5</v>
      </c>
    </row>
    <row r="538" s="21" customFormat="1" ht="21.5" customHeight="1" spans="1:7">
      <c r="A538" s="3"/>
      <c r="B538" s="27" t="s">
        <v>1322</v>
      </c>
      <c r="C538" s="3"/>
      <c r="D538" s="22" t="s">
        <v>2380</v>
      </c>
      <c r="E538" s="10" t="s">
        <v>2422</v>
      </c>
      <c r="F538" s="23" t="s">
        <v>26</v>
      </c>
      <c r="G538" s="23">
        <v>5</v>
      </c>
    </row>
    <row r="539" s="21" customFormat="1" ht="21.5" customHeight="1" spans="1:7">
      <c r="A539" s="3" t="s">
        <v>1975</v>
      </c>
      <c r="B539" s="27" t="s">
        <v>1322</v>
      </c>
      <c r="C539" s="3"/>
      <c r="D539" s="22" t="s">
        <v>2423</v>
      </c>
      <c r="E539" s="10" t="s">
        <v>2444</v>
      </c>
      <c r="F539" s="23" t="s">
        <v>1895</v>
      </c>
      <c r="G539" s="23">
        <v>3</v>
      </c>
    </row>
    <row r="540" s="21" customFormat="1" ht="21.5" customHeight="1" spans="1:7">
      <c r="A540" s="3">
        <v>7.2</v>
      </c>
      <c r="B540" s="27" t="s">
        <v>1322</v>
      </c>
      <c r="C540" s="3"/>
      <c r="D540" s="22" t="s">
        <v>2009</v>
      </c>
      <c r="E540" s="10"/>
      <c r="F540" s="23"/>
      <c r="G540" s="23"/>
    </row>
    <row r="541" s="21" customFormat="1" ht="21.5" customHeight="1" spans="1:7">
      <c r="A541" s="3" t="s">
        <v>1975</v>
      </c>
      <c r="B541" s="27" t="s">
        <v>1322</v>
      </c>
      <c r="C541" s="3" t="s">
        <v>1843</v>
      </c>
      <c r="D541" s="22" t="s">
        <v>2426</v>
      </c>
      <c r="E541" s="10" t="s">
        <v>2445</v>
      </c>
      <c r="F541" s="23" t="s">
        <v>1462</v>
      </c>
      <c r="G541" s="23">
        <v>605</v>
      </c>
    </row>
    <row r="542" s="21" customFormat="1" ht="21.5" customHeight="1" spans="1:7">
      <c r="A542" s="3"/>
      <c r="B542" s="27" t="s">
        <v>1322</v>
      </c>
      <c r="C542" s="3" t="s">
        <v>1843</v>
      </c>
      <c r="D542" s="22" t="s">
        <v>2426</v>
      </c>
      <c r="E542" s="10" t="s">
        <v>2428</v>
      </c>
      <c r="F542" s="23" t="s">
        <v>1462</v>
      </c>
      <c r="G542" s="23">
        <v>306</v>
      </c>
    </row>
    <row r="543" s="21" customFormat="1" ht="21.5" customHeight="1" spans="1:7">
      <c r="A543" s="3"/>
      <c r="B543" s="27" t="s">
        <v>1322</v>
      </c>
      <c r="C543" s="3" t="s">
        <v>1843</v>
      </c>
      <c r="D543" s="22" t="s">
        <v>2426</v>
      </c>
      <c r="E543" s="10" t="s">
        <v>2446</v>
      </c>
      <c r="F543" s="23" t="s">
        <v>1462</v>
      </c>
      <c r="G543" s="23">
        <v>625</v>
      </c>
    </row>
    <row r="544" s="21" customFormat="1" ht="21.5" customHeight="1" spans="1:7">
      <c r="A544" s="3"/>
      <c r="B544" s="27" t="s">
        <v>1322</v>
      </c>
      <c r="C544" s="3" t="s">
        <v>1843</v>
      </c>
      <c r="D544" s="22" t="s">
        <v>2426</v>
      </c>
      <c r="E544" s="10" t="s">
        <v>2435</v>
      </c>
      <c r="F544" s="23" t="s">
        <v>1462</v>
      </c>
      <c r="G544" s="23">
        <v>5650</v>
      </c>
    </row>
    <row r="545" s="21" customFormat="1" ht="21.5" customHeight="1" spans="1:7">
      <c r="A545" s="3"/>
      <c r="B545" s="27" t="s">
        <v>1322</v>
      </c>
      <c r="C545" s="3" t="s">
        <v>1843</v>
      </c>
      <c r="D545" s="22" t="s">
        <v>2426</v>
      </c>
      <c r="E545" s="10" t="s">
        <v>2429</v>
      </c>
      <c r="F545" s="23" t="s">
        <v>1462</v>
      </c>
      <c r="G545" s="23">
        <v>625</v>
      </c>
    </row>
    <row r="546" s="21" customFormat="1" ht="21.5" customHeight="1" spans="1:7">
      <c r="A546" s="3"/>
      <c r="B546" s="27" t="s">
        <v>1322</v>
      </c>
      <c r="C546" s="3" t="s">
        <v>1843</v>
      </c>
      <c r="D546" s="22" t="s">
        <v>2426</v>
      </c>
      <c r="E546" s="10" t="s">
        <v>2430</v>
      </c>
      <c r="F546" s="23" t="s">
        <v>1462</v>
      </c>
      <c r="G546" s="23">
        <v>625</v>
      </c>
    </row>
    <row r="547" s="21" customFormat="1" ht="21.5" customHeight="1" spans="1:7">
      <c r="A547" s="3" t="s">
        <v>1982</v>
      </c>
      <c r="B547" s="27" t="s">
        <v>1322</v>
      </c>
      <c r="C547" s="3" t="s">
        <v>1847</v>
      </c>
      <c r="D547" s="22" t="s">
        <v>2436</v>
      </c>
      <c r="E547" s="10" t="s">
        <v>2437</v>
      </c>
      <c r="F547" s="23" t="s">
        <v>1462</v>
      </c>
      <c r="G547" s="23">
        <v>2550</v>
      </c>
    </row>
    <row r="548" s="21" customFormat="1" ht="21.5" customHeight="1" spans="1:7">
      <c r="A548" s="3"/>
      <c r="B548" s="27" t="s">
        <v>1322</v>
      </c>
      <c r="C548" s="3" t="s">
        <v>1847</v>
      </c>
      <c r="D548" s="22" t="s">
        <v>2436</v>
      </c>
      <c r="E548" s="10" t="s">
        <v>2447</v>
      </c>
      <c r="F548" s="23" t="s">
        <v>1462</v>
      </c>
      <c r="G548" s="23">
        <v>4400</v>
      </c>
    </row>
    <row r="549" s="21" customFormat="1" ht="21.5" customHeight="1" spans="1:7">
      <c r="A549" s="3"/>
      <c r="B549" s="27" t="s">
        <v>1322</v>
      </c>
      <c r="C549" s="3" t="s">
        <v>1847</v>
      </c>
      <c r="D549" s="22" t="s">
        <v>2436</v>
      </c>
      <c r="E549" s="10" t="s">
        <v>2448</v>
      </c>
      <c r="F549" s="23" t="s">
        <v>1462</v>
      </c>
      <c r="G549" s="23">
        <v>3800</v>
      </c>
    </row>
    <row r="550" s="21" customFormat="1" ht="21.5" customHeight="1" spans="1:7">
      <c r="A550" s="3" t="s">
        <v>1985</v>
      </c>
      <c r="B550" s="27" t="s">
        <v>1322</v>
      </c>
      <c r="C550" s="3" t="s">
        <v>1970</v>
      </c>
      <c r="D550" s="22" t="s">
        <v>2439</v>
      </c>
      <c r="E550" s="10" t="s">
        <v>2046</v>
      </c>
      <c r="F550" s="23" t="s">
        <v>1210</v>
      </c>
      <c r="G550" s="23">
        <v>3</v>
      </c>
    </row>
    <row r="551" s="21" customFormat="1" ht="21.5" customHeight="1" spans="1:7">
      <c r="A551" s="3"/>
      <c r="B551" s="27" t="s">
        <v>1322</v>
      </c>
      <c r="C551" s="3" t="s">
        <v>831</v>
      </c>
      <c r="D551" s="22" t="s">
        <v>2185</v>
      </c>
      <c r="E551" s="10" t="s">
        <v>2046</v>
      </c>
      <c r="F551" s="23" t="s">
        <v>1210</v>
      </c>
      <c r="G551" s="23">
        <v>2.5</v>
      </c>
    </row>
    <row r="552" s="21" customFormat="1" ht="21.5" customHeight="1" spans="1:7">
      <c r="A552" s="3"/>
      <c r="B552" s="27" t="s">
        <v>1322</v>
      </c>
      <c r="C552" s="3" t="s">
        <v>2024</v>
      </c>
      <c r="D552" s="22" t="s">
        <v>2391</v>
      </c>
      <c r="E552" s="10" t="s">
        <v>2440</v>
      </c>
      <c r="F552" s="23" t="s">
        <v>1210</v>
      </c>
      <c r="G552" s="23">
        <v>8.5</v>
      </c>
    </row>
    <row r="553" s="21" customFormat="1" ht="21.5" customHeight="1" spans="1:7">
      <c r="A553" s="3" t="s">
        <v>1990</v>
      </c>
      <c r="B553" s="27" t="s">
        <v>1322</v>
      </c>
      <c r="C553" s="3"/>
      <c r="D553" s="22" t="s">
        <v>2449</v>
      </c>
      <c r="E553" s="10"/>
      <c r="F553" s="23" t="s">
        <v>1316</v>
      </c>
      <c r="G553" s="23">
        <v>1000</v>
      </c>
    </row>
    <row r="554" s="21" customFormat="1" ht="21.5" customHeight="1" spans="1:7">
      <c r="A554" s="3" t="s">
        <v>2023</v>
      </c>
      <c r="B554" s="27" t="s">
        <v>1322</v>
      </c>
      <c r="C554" s="3"/>
      <c r="D554" s="22" t="s">
        <v>2392</v>
      </c>
      <c r="E554" s="10"/>
      <c r="F554" s="23" t="s">
        <v>1316</v>
      </c>
      <c r="G554" s="23">
        <v>1000</v>
      </c>
    </row>
    <row r="555" s="21" customFormat="1" ht="21.5" customHeight="1" spans="1:7">
      <c r="A555" s="3"/>
      <c r="B555" s="3"/>
      <c r="C555" s="3"/>
      <c r="D555" s="22"/>
      <c r="E555" s="10"/>
      <c r="F555" s="23"/>
      <c r="G555" s="23"/>
    </row>
    <row r="556" s="21" customFormat="1" ht="21.5" customHeight="1" spans="1:7">
      <c r="A556" s="36"/>
      <c r="B556" s="36"/>
      <c r="C556" s="36"/>
      <c r="D556" s="25" t="s">
        <v>34</v>
      </c>
      <c r="E556" s="37"/>
      <c r="F556" s="38"/>
      <c r="G556" s="38"/>
    </row>
    <row r="557" s="21" customFormat="1" ht="21.5" customHeight="1" spans="1:7">
      <c r="A557" s="3">
        <v>9</v>
      </c>
      <c r="B557" s="3"/>
      <c r="C557" s="3"/>
      <c r="D557" s="22" t="s">
        <v>1201</v>
      </c>
      <c r="E557" s="10"/>
      <c r="F557" s="23"/>
      <c r="G557" s="23"/>
    </row>
    <row r="558" s="21" customFormat="1" ht="21.5" customHeight="1" spans="1:7">
      <c r="A558" s="3">
        <v>9.1</v>
      </c>
      <c r="B558" s="3"/>
      <c r="C558" s="3"/>
      <c r="D558" s="22" t="s">
        <v>1974</v>
      </c>
      <c r="E558" s="10"/>
      <c r="F558" s="23"/>
      <c r="G558" s="23"/>
    </row>
    <row r="559" s="21" customFormat="1" ht="21.5" customHeight="1" spans="1:7">
      <c r="A559" s="3" t="s">
        <v>1975</v>
      </c>
      <c r="B559" s="3">
        <v>2161</v>
      </c>
      <c r="C559" s="3"/>
      <c r="D559" s="22" t="s">
        <v>1898</v>
      </c>
      <c r="E559" s="10" t="s">
        <v>2450</v>
      </c>
      <c r="F559" s="23" t="s">
        <v>26</v>
      </c>
      <c r="G559" s="23">
        <v>2</v>
      </c>
    </row>
    <row r="560" s="21" customFormat="1" ht="21.5" customHeight="1" spans="1:7">
      <c r="A560" s="3" t="s">
        <v>1982</v>
      </c>
      <c r="B560" s="3">
        <v>2161</v>
      </c>
      <c r="C560" s="3"/>
      <c r="D560" s="22" t="s">
        <v>2451</v>
      </c>
      <c r="E560" s="10" t="s">
        <v>2452</v>
      </c>
      <c r="F560" s="23" t="s">
        <v>26</v>
      </c>
      <c r="G560" s="23">
        <v>10</v>
      </c>
    </row>
    <row r="561" s="21" customFormat="1" ht="21.5" customHeight="1" spans="1:7">
      <c r="A561" s="3">
        <v>9.2</v>
      </c>
      <c r="B561" s="3">
        <v>2161</v>
      </c>
      <c r="C561" s="3"/>
      <c r="D561" s="22" t="s">
        <v>2009</v>
      </c>
      <c r="E561" s="10"/>
      <c r="F561" s="23"/>
      <c r="G561" s="23"/>
    </row>
    <row r="562" s="21" customFormat="1" ht="21.5" customHeight="1" spans="1:7">
      <c r="A562" s="3" t="s">
        <v>1975</v>
      </c>
      <c r="B562" s="3">
        <v>2161</v>
      </c>
      <c r="C562" s="3"/>
      <c r="D562" s="22" t="s">
        <v>2453</v>
      </c>
      <c r="E562" s="10" t="s">
        <v>2454</v>
      </c>
      <c r="F562" s="23" t="s">
        <v>26</v>
      </c>
      <c r="G562" s="23">
        <v>52</v>
      </c>
    </row>
    <row r="563" s="21" customFormat="1" ht="21.5" customHeight="1" spans="1:7">
      <c r="A563" s="3" t="s">
        <v>1982</v>
      </c>
      <c r="B563" s="3">
        <v>2161</v>
      </c>
      <c r="C563" s="3" t="s">
        <v>1843</v>
      </c>
      <c r="D563" s="22" t="s">
        <v>1843</v>
      </c>
      <c r="E563" s="10" t="s">
        <v>2455</v>
      </c>
      <c r="F563" s="23" t="s">
        <v>826</v>
      </c>
      <c r="G563" s="23">
        <v>1640</v>
      </c>
    </row>
    <row r="564" s="21" customFormat="1" ht="21.5" customHeight="1" spans="1:7">
      <c r="A564" s="3"/>
      <c r="B564" s="3">
        <v>2161</v>
      </c>
      <c r="C564" s="3" t="s">
        <v>1843</v>
      </c>
      <c r="D564" s="22" t="s">
        <v>1843</v>
      </c>
      <c r="E564" s="10" t="s">
        <v>2456</v>
      </c>
      <c r="F564" s="23" t="s">
        <v>826</v>
      </c>
      <c r="G564" s="23">
        <v>520</v>
      </c>
    </row>
    <row r="565" s="21" customFormat="1" ht="21.5" customHeight="1" spans="1:7">
      <c r="A565" s="3" t="s">
        <v>1985</v>
      </c>
      <c r="B565" s="3">
        <v>2161</v>
      </c>
      <c r="C565" s="3" t="s">
        <v>1847</v>
      </c>
      <c r="D565" s="22" t="s">
        <v>1847</v>
      </c>
      <c r="E565" s="10" t="s">
        <v>2457</v>
      </c>
      <c r="F565" s="23" t="s">
        <v>826</v>
      </c>
      <c r="G565" s="23">
        <v>360</v>
      </c>
    </row>
    <row r="566" s="21" customFormat="1" ht="21.5" customHeight="1" spans="1:7">
      <c r="A566" s="3" t="s">
        <v>1990</v>
      </c>
      <c r="B566" s="3">
        <v>2161</v>
      </c>
      <c r="C566" s="3" t="s">
        <v>1970</v>
      </c>
      <c r="D566" s="22" t="s">
        <v>1970</v>
      </c>
      <c r="E566" s="10" t="s">
        <v>2022</v>
      </c>
      <c r="F566" s="23" t="s">
        <v>1210</v>
      </c>
      <c r="G566" s="23">
        <v>56.82</v>
      </c>
    </row>
    <row r="567" s="21" customFormat="1" ht="21.5" customHeight="1" spans="1:7">
      <c r="A567" s="3"/>
      <c r="B567" s="3">
        <v>2161</v>
      </c>
      <c r="C567" s="3" t="s">
        <v>831</v>
      </c>
      <c r="D567" s="22" t="s">
        <v>2045</v>
      </c>
      <c r="E567" s="10" t="s">
        <v>2170</v>
      </c>
      <c r="F567" s="23" t="s">
        <v>1210</v>
      </c>
      <c r="G567" s="23">
        <v>5</v>
      </c>
    </row>
    <row r="568" s="21" customFormat="1" ht="21.5" customHeight="1" spans="1:7">
      <c r="A568" s="3"/>
      <c r="B568" s="3">
        <v>2161</v>
      </c>
      <c r="C568" s="3" t="s">
        <v>2024</v>
      </c>
      <c r="D568" s="22" t="s">
        <v>2024</v>
      </c>
      <c r="E568" s="10" t="s">
        <v>2025</v>
      </c>
      <c r="F568" s="23" t="s">
        <v>1210</v>
      </c>
      <c r="G568" s="23">
        <v>5</v>
      </c>
    </row>
    <row r="569" s="21" customFormat="1" ht="21.5" customHeight="1" spans="1:7">
      <c r="A569" s="3"/>
      <c r="B569" s="3">
        <v>2161</v>
      </c>
      <c r="C569" s="3"/>
      <c r="D569" s="22"/>
      <c r="E569" s="10"/>
      <c r="F569" s="23"/>
      <c r="G569" s="23"/>
    </row>
    <row r="570" s="21" customFormat="1" ht="21.5" customHeight="1" spans="1:7">
      <c r="A570" s="3">
        <v>10</v>
      </c>
      <c r="B570" s="3">
        <v>2161</v>
      </c>
      <c r="C570" s="3"/>
      <c r="D570" s="22" t="s">
        <v>2458</v>
      </c>
      <c r="E570" s="10"/>
      <c r="F570" s="23"/>
      <c r="G570" s="23"/>
    </row>
    <row r="571" s="21" customFormat="1" ht="21.5" customHeight="1" spans="1:7">
      <c r="A571" s="3" t="s">
        <v>1975</v>
      </c>
      <c r="B571" s="3">
        <v>2161</v>
      </c>
      <c r="C571" s="3"/>
      <c r="D571" s="22" t="s">
        <v>1956</v>
      </c>
      <c r="E571" s="10" t="s">
        <v>2459</v>
      </c>
      <c r="F571" s="23" t="s">
        <v>23</v>
      </c>
      <c r="G571" s="23">
        <v>1</v>
      </c>
    </row>
    <row r="572" s="21" customFormat="1" ht="21.5" customHeight="1" spans="1:7">
      <c r="A572" s="3" t="s">
        <v>1982</v>
      </c>
      <c r="B572" s="3">
        <v>2161</v>
      </c>
      <c r="C572" s="3"/>
      <c r="D572" s="22" t="s">
        <v>2460</v>
      </c>
      <c r="E572" s="10"/>
      <c r="F572" s="23" t="s">
        <v>23</v>
      </c>
      <c r="G572" s="23">
        <v>3</v>
      </c>
    </row>
    <row r="573" s="21" customFormat="1" ht="21.5" customHeight="1" spans="1:7">
      <c r="A573" s="3"/>
      <c r="B573" s="3">
        <v>2161</v>
      </c>
      <c r="C573" s="3"/>
      <c r="D573" s="22" t="s">
        <v>2461</v>
      </c>
      <c r="E573" s="10" t="s">
        <v>2462</v>
      </c>
      <c r="F573" s="23" t="s">
        <v>26</v>
      </c>
      <c r="G573" s="23">
        <v>3</v>
      </c>
    </row>
    <row r="574" s="21" customFormat="1" ht="21.5" customHeight="1" spans="1:7">
      <c r="A574" s="3" t="s">
        <v>1985</v>
      </c>
      <c r="B574" s="3">
        <v>2161</v>
      </c>
      <c r="C574" s="3"/>
      <c r="D574" s="22" t="s">
        <v>2463</v>
      </c>
      <c r="E574" s="10" t="s">
        <v>2464</v>
      </c>
      <c r="F574" s="23" t="s">
        <v>26</v>
      </c>
      <c r="G574" s="23">
        <v>4</v>
      </c>
    </row>
    <row r="575" s="21" customFormat="1" ht="21.5" customHeight="1" spans="1:7">
      <c r="A575" s="3"/>
      <c r="B575" s="3">
        <v>2161</v>
      </c>
      <c r="C575" s="3"/>
      <c r="D575" s="22" t="s">
        <v>2465</v>
      </c>
      <c r="E575" s="10" t="s">
        <v>2464</v>
      </c>
      <c r="F575" s="23" t="s">
        <v>26</v>
      </c>
      <c r="G575" s="23">
        <v>1</v>
      </c>
    </row>
    <row r="576" s="21" customFormat="1" ht="21.5" customHeight="1" spans="1:7">
      <c r="A576" s="3"/>
      <c r="B576" s="3">
        <v>2161</v>
      </c>
      <c r="C576" s="3"/>
      <c r="D576" s="22" t="s">
        <v>2466</v>
      </c>
      <c r="E576" s="10" t="s">
        <v>2467</v>
      </c>
      <c r="F576" s="23" t="s">
        <v>2348</v>
      </c>
      <c r="G576" s="23">
        <v>4</v>
      </c>
    </row>
    <row r="577" s="21" customFormat="1" ht="21.5" customHeight="1" spans="1:7">
      <c r="A577" s="3"/>
      <c r="B577" s="3">
        <v>2161</v>
      </c>
      <c r="C577" s="3"/>
      <c r="D577" s="22" t="s">
        <v>1754</v>
      </c>
      <c r="E577" s="10" t="s">
        <v>2468</v>
      </c>
      <c r="F577" s="23" t="s">
        <v>1462</v>
      </c>
      <c r="G577" s="23">
        <v>450</v>
      </c>
    </row>
    <row r="578" s="21" customFormat="1" ht="21.5" customHeight="1" spans="1:7">
      <c r="A578" s="3"/>
      <c r="B578" s="3">
        <v>2161</v>
      </c>
      <c r="C578" s="3"/>
      <c r="D578" s="22" t="s">
        <v>1754</v>
      </c>
      <c r="E578" s="10" t="s">
        <v>2469</v>
      </c>
      <c r="F578" s="23" t="s">
        <v>1462</v>
      </c>
      <c r="G578" s="23">
        <v>80</v>
      </c>
    </row>
    <row r="579" s="21" customFormat="1" ht="21.5" customHeight="1" spans="1:7">
      <c r="A579" s="3"/>
      <c r="B579" s="3"/>
      <c r="C579" s="3"/>
      <c r="D579" s="22"/>
      <c r="E579" s="22"/>
      <c r="F579" s="23"/>
      <c r="G579" s="28"/>
    </row>
    <row r="580" s="21" customFormat="1" ht="21.5" customHeight="1" spans="1:7">
      <c r="A580" s="12"/>
      <c r="B580" s="12"/>
      <c r="C580" s="12"/>
      <c r="D580" s="25" t="s">
        <v>34</v>
      </c>
      <c r="E580" s="25"/>
      <c r="F580" s="26"/>
      <c r="G580" s="29"/>
    </row>
    <row r="581" s="21" customFormat="1" ht="21.5" customHeight="1" spans="1:7">
      <c r="A581" s="12"/>
      <c r="B581" s="12"/>
      <c r="C581" s="12"/>
      <c r="D581" s="25" t="s">
        <v>661</v>
      </c>
      <c r="E581" s="25"/>
      <c r="F581" s="26"/>
      <c r="G581" s="29"/>
    </row>
    <row r="582" customHeight="1" spans="1:7">
      <c r="E582" s="2" t="s">
        <v>1843</v>
      </c>
      <c r="F582" s="2" t="s">
        <v>1462</v>
      </c>
      <c r="G582" s="30">
        <f>SUMIF($C$4:$C$580,E582,$G$4:$G$580)</f>
        <v>89582</v>
      </c>
    </row>
    <row r="583" customHeight="1" spans="1:7">
      <c r="E583" s="2" t="s">
        <v>1847</v>
      </c>
      <c r="F583" s="2" t="s">
        <v>1462</v>
      </c>
      <c r="G583" s="30">
        <f>SUMIF($C$4:$C$580,E583,$G$4:$G$580)</f>
        <v>98594</v>
      </c>
    </row>
    <row r="584" customHeight="1" spans="1:7">
      <c r="E584" s="2" t="s">
        <v>2024</v>
      </c>
      <c r="F584" s="2" t="s">
        <v>1210</v>
      </c>
      <c r="G584" s="30">
        <f>SUMIF($C$4:$C$580,E584,$G$4:$G$580)</f>
        <v>63.305</v>
      </c>
    </row>
    <row r="585" customHeight="1" spans="1:7">
      <c r="E585" s="2" t="s">
        <v>1970</v>
      </c>
      <c r="F585" s="2" t="s">
        <v>1210</v>
      </c>
      <c r="G585" s="30">
        <f>SUMIF($C$4:$C$580,E585,$G$4:$G$580)</f>
        <v>246.345</v>
      </c>
    </row>
    <row r="586" customHeight="1" spans="1:7">
      <c r="E586" s="2" t="s">
        <v>2010</v>
      </c>
      <c r="F586" s="2" t="s">
        <v>1462</v>
      </c>
      <c r="G586" s="30">
        <f>SUMIF($C$4:$C$580,E586,$G$4:$G$580)</f>
        <v>7144</v>
      </c>
    </row>
  </sheetData>
  <autoFilter xmlns:etc="http://www.wps.cn/officeDocument/2017/etCustomData" ref="A2:G586" etc:filterBottomFollowUsedRange="0">
    <extLst/>
  </autoFilter>
  <mergeCells count="6"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outlinePr summaryBelow="0"/>
  </sheetPr>
  <dimension ref="A1:G577"/>
  <sheetViews>
    <sheetView zoomScale="85" zoomScaleNormal="85" workbookViewId="0">
      <pane ySplit="2" topLeftCell="A562" activePane="bottomLeft" state="frozen"/>
      <selection/>
      <selection pane="bottomLeft" activeCell="A1" sqref="$A1:$XFD1"/>
    </sheetView>
  </sheetViews>
  <sheetFormatPr defaultColWidth="8.8" defaultRowHeight="22" customHeight="1" outlineLevelCol="6"/>
  <cols>
    <col min="1" max="2" width="8.8" style="2"/>
    <col min="3" max="3" width="11.2" style="2" customWidth="1"/>
    <col min="4" max="4" width="20.8" style="2" customWidth="1"/>
    <col min="5" max="5" width="46.6" style="2" customWidth="1"/>
    <col min="6" max="6" width="8.8" style="2"/>
    <col min="7" max="7" width="10.8" style="2" customWidth="1"/>
    <col min="8" max="16384" width="8.8" style="2"/>
  </cols>
  <sheetData>
    <row r="1" customHeight="1" spans="1:7">
      <c r="A1" s="3" t="s">
        <v>0</v>
      </c>
      <c r="B1" s="4"/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Height="1" spans="1:7">
      <c r="A2" s="3"/>
      <c r="B2" s="5"/>
      <c r="C2" s="5"/>
      <c r="D2" s="3"/>
      <c r="E2" s="3"/>
      <c r="F2" s="3"/>
      <c r="G2" s="3"/>
    </row>
    <row r="3" customHeight="1" spans="1:7">
      <c r="A3" s="3" t="s">
        <v>1370</v>
      </c>
      <c r="B3" s="3"/>
      <c r="C3" s="3"/>
      <c r="D3" s="10" t="s">
        <v>2470</v>
      </c>
      <c r="E3" s="10"/>
      <c r="F3" s="11"/>
      <c r="G3" s="11"/>
    </row>
    <row r="4" customHeight="1" spans="1:7">
      <c r="A4" s="3">
        <v>1</v>
      </c>
      <c r="B4" s="3"/>
      <c r="C4" s="3"/>
      <c r="D4" s="10" t="s">
        <v>2471</v>
      </c>
      <c r="E4" s="10"/>
      <c r="F4" s="11"/>
      <c r="G4" s="11"/>
    </row>
    <row r="5" customHeight="1" spans="1:7">
      <c r="A5" s="3" t="s">
        <v>2472</v>
      </c>
      <c r="B5" s="3">
        <v>2125</v>
      </c>
      <c r="C5" s="3"/>
      <c r="D5" s="10" t="s">
        <v>2473</v>
      </c>
      <c r="E5" s="10" t="s">
        <v>2474</v>
      </c>
      <c r="F5" s="11" t="s">
        <v>12</v>
      </c>
      <c r="G5" s="11">
        <v>6</v>
      </c>
    </row>
    <row r="6" customHeight="1" spans="1:7">
      <c r="A6" s="3" t="s">
        <v>2475</v>
      </c>
      <c r="B6" s="3">
        <v>2125</v>
      </c>
      <c r="C6" s="3"/>
      <c r="D6" s="10" t="s">
        <v>2473</v>
      </c>
      <c r="E6" s="10" t="s">
        <v>2474</v>
      </c>
      <c r="F6" s="11" t="s">
        <v>12</v>
      </c>
      <c r="G6" s="11">
        <v>8</v>
      </c>
    </row>
    <row r="7" customHeight="1" spans="1:7">
      <c r="A7" s="3" t="s">
        <v>2476</v>
      </c>
      <c r="B7" s="3">
        <v>2125</v>
      </c>
      <c r="C7" s="3"/>
      <c r="D7" s="10" t="s">
        <v>2477</v>
      </c>
      <c r="E7" s="10" t="s">
        <v>2478</v>
      </c>
      <c r="F7" s="11" t="s">
        <v>12</v>
      </c>
      <c r="G7" s="11">
        <v>2</v>
      </c>
    </row>
    <row r="8" customHeight="1" spans="1:7">
      <c r="A8" s="3" t="s">
        <v>2479</v>
      </c>
      <c r="B8" s="3">
        <v>2125</v>
      </c>
      <c r="C8" s="3"/>
      <c r="D8" s="10" t="s">
        <v>2480</v>
      </c>
      <c r="E8" s="10" t="s">
        <v>2481</v>
      </c>
      <c r="F8" s="11" t="s">
        <v>26</v>
      </c>
      <c r="G8" s="11">
        <v>16</v>
      </c>
    </row>
    <row r="9" customHeight="1" spans="1:7">
      <c r="A9" s="3" t="s">
        <v>2482</v>
      </c>
      <c r="B9" s="3">
        <v>2125</v>
      </c>
      <c r="C9" s="3"/>
      <c r="D9" s="10" t="s">
        <v>2483</v>
      </c>
      <c r="E9" s="10" t="s">
        <v>2481</v>
      </c>
      <c r="F9" s="11" t="s">
        <v>26</v>
      </c>
      <c r="G9" s="11">
        <v>3</v>
      </c>
    </row>
    <row r="10" customHeight="1" spans="1:7">
      <c r="A10" s="3" t="s">
        <v>2484</v>
      </c>
      <c r="B10" s="3">
        <v>2125</v>
      </c>
      <c r="C10" s="3"/>
      <c r="D10" s="10" t="s">
        <v>2485</v>
      </c>
      <c r="E10" s="10" t="s">
        <v>2486</v>
      </c>
      <c r="F10" s="11" t="s">
        <v>26</v>
      </c>
      <c r="G10" s="11">
        <v>14</v>
      </c>
    </row>
    <row r="11" customHeight="1" spans="1:7">
      <c r="A11" s="3">
        <v>2</v>
      </c>
      <c r="B11" s="3">
        <v>2125</v>
      </c>
      <c r="C11" s="3"/>
      <c r="D11" s="10" t="s">
        <v>2487</v>
      </c>
      <c r="E11" s="10"/>
      <c r="F11" s="11"/>
      <c r="G11" s="11"/>
    </row>
    <row r="12" customHeight="1" spans="1:7">
      <c r="A12" s="3" t="s">
        <v>2472</v>
      </c>
      <c r="B12" s="3">
        <v>2125</v>
      </c>
      <c r="C12" s="3" t="s">
        <v>1847</v>
      </c>
      <c r="D12" s="10" t="s">
        <v>2488</v>
      </c>
      <c r="E12" s="10" t="s">
        <v>2489</v>
      </c>
      <c r="F12" s="11" t="s">
        <v>1462</v>
      </c>
      <c r="G12" s="11">
        <v>2400</v>
      </c>
    </row>
    <row r="13" customHeight="1" spans="1:7">
      <c r="A13" s="3" t="s">
        <v>2475</v>
      </c>
      <c r="B13" s="3">
        <v>2125</v>
      </c>
      <c r="C13" s="3" t="s">
        <v>1843</v>
      </c>
      <c r="D13" s="10" t="s">
        <v>2490</v>
      </c>
      <c r="E13" s="10" t="s">
        <v>2491</v>
      </c>
      <c r="F13" s="11" t="s">
        <v>1462</v>
      </c>
      <c r="G13" s="11">
        <v>300</v>
      </c>
    </row>
    <row r="14" customHeight="1" spans="1:7">
      <c r="A14" s="3" t="s">
        <v>2476</v>
      </c>
      <c r="B14" s="3">
        <v>2125</v>
      </c>
      <c r="C14" s="3" t="s">
        <v>831</v>
      </c>
      <c r="D14" s="10" t="s">
        <v>831</v>
      </c>
      <c r="E14" s="10" t="s">
        <v>2327</v>
      </c>
      <c r="F14" s="11" t="s">
        <v>1462</v>
      </c>
      <c r="G14" s="11">
        <v>180</v>
      </c>
    </row>
    <row r="15" customHeight="1" spans="1:7">
      <c r="A15" s="3" t="s">
        <v>2479</v>
      </c>
      <c r="B15" s="3">
        <v>2125</v>
      </c>
      <c r="C15" s="3" t="s">
        <v>1754</v>
      </c>
      <c r="D15" s="10" t="s">
        <v>2492</v>
      </c>
      <c r="E15" s="10" t="s">
        <v>2327</v>
      </c>
      <c r="F15" s="11" t="s">
        <v>23</v>
      </c>
      <c r="G15" s="11">
        <v>18</v>
      </c>
    </row>
    <row r="16" customHeight="1" spans="1:7">
      <c r="A16" s="3" t="s">
        <v>2482</v>
      </c>
      <c r="B16" s="3">
        <v>2125</v>
      </c>
      <c r="C16" s="3" t="s">
        <v>865</v>
      </c>
      <c r="D16" s="10" t="s">
        <v>2493</v>
      </c>
      <c r="E16" s="10" t="s">
        <v>2494</v>
      </c>
      <c r="F16" s="11" t="s">
        <v>1462</v>
      </c>
      <c r="G16" s="11">
        <v>60</v>
      </c>
    </row>
    <row r="17" customHeight="1" spans="1:7">
      <c r="A17" s="3" t="s">
        <v>2484</v>
      </c>
      <c r="B17" s="3">
        <v>2125</v>
      </c>
      <c r="C17" s="3" t="s">
        <v>681</v>
      </c>
      <c r="D17" s="10" t="s">
        <v>681</v>
      </c>
      <c r="E17" s="10" t="s">
        <v>2495</v>
      </c>
      <c r="F17" s="11" t="s">
        <v>1462</v>
      </c>
      <c r="G17" s="11">
        <v>70</v>
      </c>
    </row>
    <row r="18" customHeight="1" spans="1:7">
      <c r="A18" s="3" t="s">
        <v>2496</v>
      </c>
      <c r="B18" s="3">
        <v>2125</v>
      </c>
      <c r="C18" s="3"/>
      <c r="D18" s="10" t="s">
        <v>2497</v>
      </c>
      <c r="E18" s="10" t="s">
        <v>2498</v>
      </c>
      <c r="F18" s="11" t="s">
        <v>1462</v>
      </c>
      <c r="G18" s="11">
        <v>14</v>
      </c>
    </row>
    <row r="19" customHeight="1" spans="1:7">
      <c r="A19" s="3"/>
      <c r="B19" s="3"/>
      <c r="C19" s="3"/>
      <c r="D19" s="10"/>
      <c r="E19" s="10"/>
      <c r="F19" s="11"/>
      <c r="G19" s="31"/>
    </row>
    <row r="20" s="1" customFormat="1" customHeight="1" spans="1:7">
      <c r="A20" s="12"/>
      <c r="B20" s="12"/>
      <c r="C20" s="12"/>
      <c r="D20" s="13" t="s">
        <v>34</v>
      </c>
      <c r="E20" s="13"/>
      <c r="F20" s="14"/>
      <c r="G20" s="32"/>
    </row>
    <row r="21" s="1" customFormat="1" customHeight="1" spans="1:7">
      <c r="A21" s="6" t="s">
        <v>7</v>
      </c>
      <c r="B21" s="6"/>
      <c r="C21" s="6"/>
      <c r="D21" s="7" t="s">
        <v>2499</v>
      </c>
      <c r="E21" s="7"/>
      <c r="F21" s="8"/>
      <c r="G21" s="9"/>
    </row>
    <row r="22" customHeight="1" spans="1:7">
      <c r="A22" s="6">
        <v>1</v>
      </c>
      <c r="B22" s="6"/>
      <c r="C22" s="6"/>
      <c r="D22" s="7" t="s">
        <v>2471</v>
      </c>
      <c r="E22" s="10"/>
      <c r="F22" s="11"/>
      <c r="G22" s="11"/>
    </row>
    <row r="23" customHeight="1" spans="1:7">
      <c r="A23" s="82" t="s">
        <v>2472</v>
      </c>
      <c r="B23" s="3">
        <v>2104</v>
      </c>
      <c r="C23" s="3"/>
      <c r="D23" s="10" t="s">
        <v>2500</v>
      </c>
      <c r="E23" s="10" t="s">
        <v>2501</v>
      </c>
      <c r="F23" s="11" t="s">
        <v>23</v>
      </c>
      <c r="G23" s="11">
        <v>1</v>
      </c>
    </row>
    <row r="24" customHeight="1" spans="1:7">
      <c r="A24" s="3" t="s">
        <v>2475</v>
      </c>
      <c r="B24" s="3">
        <v>2104</v>
      </c>
      <c r="C24" s="3"/>
      <c r="D24" s="10" t="s">
        <v>2502</v>
      </c>
      <c r="E24" s="10" t="s">
        <v>2503</v>
      </c>
      <c r="F24" s="11" t="s">
        <v>12</v>
      </c>
      <c r="G24" s="11">
        <v>2</v>
      </c>
    </row>
    <row r="25" customHeight="1" spans="1:7">
      <c r="A25" s="6" t="s">
        <v>2476</v>
      </c>
      <c r="B25" s="3">
        <v>2104</v>
      </c>
      <c r="C25" s="6"/>
      <c r="D25" s="10" t="s">
        <v>2504</v>
      </c>
      <c r="E25" s="10" t="s">
        <v>2505</v>
      </c>
      <c r="F25" s="11" t="s">
        <v>2348</v>
      </c>
      <c r="G25" s="11">
        <v>6</v>
      </c>
    </row>
    <row r="26" customHeight="1" spans="1:7">
      <c r="A26" s="3" t="s">
        <v>2479</v>
      </c>
      <c r="B26" s="3">
        <v>2104</v>
      </c>
      <c r="C26" s="3"/>
      <c r="D26" s="10" t="s">
        <v>2346</v>
      </c>
      <c r="E26" s="10" t="s">
        <v>2506</v>
      </c>
      <c r="F26" s="11" t="s">
        <v>12</v>
      </c>
      <c r="G26" s="11">
        <v>4</v>
      </c>
    </row>
    <row r="27" customHeight="1" spans="1:7">
      <c r="A27" s="3" t="s">
        <v>2482</v>
      </c>
      <c r="B27" s="3">
        <v>2104</v>
      </c>
      <c r="C27" s="3"/>
      <c r="D27" s="10" t="s">
        <v>2507</v>
      </c>
      <c r="E27" s="10"/>
      <c r="F27" s="11" t="s">
        <v>12</v>
      </c>
      <c r="G27" s="11">
        <v>0</v>
      </c>
    </row>
    <row r="28" customHeight="1" spans="1:7">
      <c r="A28" s="3" t="s">
        <v>2484</v>
      </c>
      <c r="B28" s="3">
        <v>2104</v>
      </c>
      <c r="C28" s="3"/>
      <c r="D28" s="10" t="s">
        <v>2508</v>
      </c>
      <c r="E28" s="10" t="s">
        <v>2509</v>
      </c>
      <c r="F28" s="11" t="s">
        <v>12</v>
      </c>
      <c r="G28" s="11">
        <v>1</v>
      </c>
    </row>
    <row r="29" customHeight="1" spans="1:7">
      <c r="A29" s="3" t="s">
        <v>2496</v>
      </c>
      <c r="B29" s="3">
        <v>2104</v>
      </c>
      <c r="C29" s="3"/>
      <c r="D29" s="10" t="s">
        <v>2508</v>
      </c>
      <c r="E29" s="10" t="s">
        <v>2510</v>
      </c>
      <c r="F29" s="11" t="s">
        <v>12</v>
      </c>
      <c r="G29" s="11">
        <v>1</v>
      </c>
    </row>
    <row r="30" customHeight="1" spans="1:7">
      <c r="A30" s="3" t="s">
        <v>2511</v>
      </c>
      <c r="B30" s="3">
        <v>2104</v>
      </c>
      <c r="C30" s="3"/>
      <c r="D30" s="10" t="s">
        <v>2512</v>
      </c>
      <c r="E30" s="10" t="s">
        <v>2513</v>
      </c>
      <c r="F30" s="11" t="s">
        <v>12</v>
      </c>
      <c r="G30" s="11">
        <v>1</v>
      </c>
    </row>
    <row r="31" customHeight="1" spans="1:7">
      <c r="A31" s="3" t="s">
        <v>2514</v>
      </c>
      <c r="B31" s="3">
        <v>2104</v>
      </c>
      <c r="C31" s="3"/>
      <c r="D31" s="10" t="s">
        <v>2512</v>
      </c>
      <c r="E31" s="10" t="s">
        <v>2515</v>
      </c>
      <c r="F31" s="11" t="s">
        <v>12</v>
      </c>
      <c r="G31" s="11">
        <v>2</v>
      </c>
    </row>
    <row r="32" customHeight="1" spans="1:7">
      <c r="A32" s="3" t="s">
        <v>2516</v>
      </c>
      <c r="B32" s="3">
        <v>2104</v>
      </c>
      <c r="C32" s="3"/>
      <c r="D32" s="10" t="s">
        <v>2512</v>
      </c>
      <c r="E32" s="10" t="s">
        <v>2517</v>
      </c>
      <c r="F32" s="11" t="s">
        <v>12</v>
      </c>
      <c r="G32" s="11">
        <v>1</v>
      </c>
    </row>
    <row r="33" customHeight="1" spans="1:7">
      <c r="A33" s="3" t="s">
        <v>2518</v>
      </c>
      <c r="B33" s="3">
        <v>2104</v>
      </c>
      <c r="C33" s="3"/>
      <c r="D33" s="10" t="s">
        <v>2512</v>
      </c>
      <c r="E33" s="10" t="s">
        <v>2519</v>
      </c>
      <c r="F33" s="11" t="s">
        <v>12</v>
      </c>
      <c r="G33" s="11">
        <v>1</v>
      </c>
    </row>
    <row r="34" customHeight="1" spans="1:7">
      <c r="A34" s="3" t="s">
        <v>2520</v>
      </c>
      <c r="B34" s="3">
        <v>2104</v>
      </c>
      <c r="C34" s="3"/>
      <c r="D34" s="10" t="s">
        <v>2521</v>
      </c>
      <c r="E34" s="10" t="s">
        <v>2522</v>
      </c>
      <c r="F34" s="11" t="s">
        <v>12</v>
      </c>
      <c r="G34" s="11">
        <v>3</v>
      </c>
    </row>
    <row r="35" customHeight="1" spans="1:7">
      <c r="A35" s="3" t="s">
        <v>2523</v>
      </c>
      <c r="B35" s="3">
        <v>2104</v>
      </c>
      <c r="C35" s="3"/>
      <c r="D35" s="10" t="s">
        <v>2521</v>
      </c>
      <c r="E35" s="10" t="s">
        <v>2524</v>
      </c>
      <c r="F35" s="11" t="s">
        <v>12</v>
      </c>
      <c r="G35" s="11">
        <v>1</v>
      </c>
    </row>
    <row r="36" customHeight="1" spans="1:7">
      <c r="A36" s="3" t="s">
        <v>2525</v>
      </c>
      <c r="B36" s="3">
        <v>2104</v>
      </c>
      <c r="C36" s="3"/>
      <c r="D36" s="10" t="s">
        <v>2521</v>
      </c>
      <c r="E36" s="10" t="s">
        <v>2526</v>
      </c>
      <c r="F36" s="11" t="s">
        <v>12</v>
      </c>
      <c r="G36" s="11">
        <v>1</v>
      </c>
    </row>
    <row r="37" customHeight="1" spans="1:7">
      <c r="A37" s="3" t="s">
        <v>2527</v>
      </c>
      <c r="B37" s="3">
        <v>2104</v>
      </c>
      <c r="C37" s="3"/>
      <c r="D37" s="10" t="s">
        <v>2521</v>
      </c>
      <c r="E37" s="10" t="s">
        <v>2528</v>
      </c>
      <c r="F37" s="11" t="s">
        <v>12</v>
      </c>
      <c r="G37" s="11">
        <v>1</v>
      </c>
    </row>
    <row r="38" customHeight="1" spans="1:7">
      <c r="A38" s="3" t="s">
        <v>2529</v>
      </c>
      <c r="B38" s="3">
        <v>2104</v>
      </c>
      <c r="C38" s="3"/>
      <c r="D38" s="10" t="s">
        <v>2530</v>
      </c>
      <c r="E38" s="10" t="s">
        <v>2531</v>
      </c>
      <c r="F38" s="11" t="s">
        <v>12</v>
      </c>
      <c r="G38" s="11">
        <v>2</v>
      </c>
    </row>
    <row r="39" customHeight="1" spans="1:7">
      <c r="A39" s="3" t="s">
        <v>2532</v>
      </c>
      <c r="B39" s="3">
        <v>2104</v>
      </c>
      <c r="C39" s="3"/>
      <c r="D39" s="10" t="s">
        <v>2533</v>
      </c>
      <c r="E39" s="10" t="s">
        <v>2534</v>
      </c>
      <c r="F39" s="11" t="s">
        <v>23</v>
      </c>
      <c r="G39" s="11">
        <v>1</v>
      </c>
    </row>
    <row r="40" customHeight="1" spans="1:7">
      <c r="A40" s="3" t="s">
        <v>2535</v>
      </c>
      <c r="B40" s="3">
        <v>2104</v>
      </c>
      <c r="C40" s="3"/>
      <c r="D40" s="10" t="s">
        <v>2533</v>
      </c>
      <c r="E40" s="10" t="s">
        <v>2536</v>
      </c>
      <c r="F40" s="11" t="s">
        <v>23</v>
      </c>
      <c r="G40" s="11">
        <v>1</v>
      </c>
    </row>
    <row r="41" customHeight="1" spans="1:7">
      <c r="A41" s="3" t="s">
        <v>2537</v>
      </c>
      <c r="B41" s="3">
        <v>2104</v>
      </c>
      <c r="C41" s="3"/>
      <c r="D41" s="10" t="s">
        <v>2533</v>
      </c>
      <c r="E41" s="10" t="s">
        <v>2538</v>
      </c>
      <c r="F41" s="11" t="s">
        <v>23</v>
      </c>
      <c r="G41" s="11">
        <v>1</v>
      </c>
    </row>
    <row r="42" customHeight="1" spans="1:7">
      <c r="A42" s="3" t="s">
        <v>2539</v>
      </c>
      <c r="B42" s="3">
        <v>2104</v>
      </c>
      <c r="C42" s="3"/>
      <c r="D42" s="10" t="s">
        <v>2533</v>
      </c>
      <c r="E42" s="10" t="s">
        <v>2540</v>
      </c>
      <c r="F42" s="11" t="s">
        <v>23</v>
      </c>
      <c r="G42" s="11">
        <v>1</v>
      </c>
    </row>
    <row r="43" customHeight="1" spans="1:7">
      <c r="A43" s="3" t="s">
        <v>2541</v>
      </c>
      <c r="B43" s="3">
        <v>2104</v>
      </c>
      <c r="C43" s="3"/>
      <c r="D43" s="10" t="s">
        <v>2542</v>
      </c>
      <c r="E43" s="10" t="s">
        <v>2543</v>
      </c>
      <c r="F43" s="11" t="s">
        <v>23</v>
      </c>
      <c r="G43" s="11">
        <v>1</v>
      </c>
    </row>
    <row r="44" customHeight="1" spans="1:7">
      <c r="A44" s="3" t="s">
        <v>2544</v>
      </c>
      <c r="B44" s="3">
        <v>2104</v>
      </c>
      <c r="C44" s="3"/>
      <c r="D44" s="10" t="s">
        <v>2473</v>
      </c>
      <c r="E44" s="10" t="s">
        <v>2545</v>
      </c>
      <c r="F44" s="11" t="s">
        <v>12</v>
      </c>
      <c r="G44" s="11">
        <v>1</v>
      </c>
    </row>
    <row r="45" customHeight="1" spans="1:7">
      <c r="A45" s="3" t="s">
        <v>2546</v>
      </c>
      <c r="B45" s="3">
        <v>2104</v>
      </c>
      <c r="C45" s="3"/>
      <c r="D45" s="10" t="s">
        <v>2480</v>
      </c>
      <c r="E45" s="10" t="s">
        <v>2481</v>
      </c>
      <c r="F45" s="11" t="s">
        <v>26</v>
      </c>
      <c r="G45" s="11">
        <v>21</v>
      </c>
    </row>
    <row r="46" customHeight="1" spans="1:7">
      <c r="A46" s="3" t="s">
        <v>2547</v>
      </c>
      <c r="B46" s="3">
        <v>2104</v>
      </c>
      <c r="C46" s="3"/>
      <c r="D46" s="10" t="s">
        <v>2548</v>
      </c>
      <c r="E46" s="10" t="s">
        <v>2481</v>
      </c>
      <c r="F46" s="11" t="s">
        <v>26</v>
      </c>
      <c r="G46" s="11">
        <v>8</v>
      </c>
    </row>
    <row r="47" customHeight="1" spans="1:7">
      <c r="A47" s="3" t="s">
        <v>2549</v>
      </c>
      <c r="B47" s="3">
        <v>2104</v>
      </c>
      <c r="C47" s="3"/>
      <c r="D47" s="10" t="s">
        <v>2483</v>
      </c>
      <c r="E47" s="10" t="s">
        <v>2481</v>
      </c>
      <c r="F47" s="11" t="s">
        <v>26</v>
      </c>
      <c r="G47" s="11">
        <v>5</v>
      </c>
    </row>
    <row r="48" customHeight="1" spans="1:7">
      <c r="A48" s="3" t="s">
        <v>2550</v>
      </c>
      <c r="B48" s="3">
        <v>2104</v>
      </c>
      <c r="C48" s="3"/>
      <c r="D48" s="10" t="s">
        <v>2551</v>
      </c>
      <c r="E48" s="10" t="s">
        <v>2552</v>
      </c>
      <c r="F48" s="11" t="s">
        <v>26</v>
      </c>
      <c r="G48" s="11">
        <v>18</v>
      </c>
    </row>
    <row r="49" customHeight="1" spans="1:7">
      <c r="A49" s="3" t="s">
        <v>2553</v>
      </c>
      <c r="B49" s="3">
        <v>2104</v>
      </c>
      <c r="C49" s="3"/>
      <c r="D49" s="10" t="s">
        <v>2485</v>
      </c>
      <c r="E49" s="10" t="s">
        <v>2486</v>
      </c>
      <c r="F49" s="11" t="s">
        <v>26</v>
      </c>
      <c r="G49" s="11">
        <v>9</v>
      </c>
    </row>
    <row r="50" customHeight="1" spans="1:7">
      <c r="A50" s="3">
        <v>2</v>
      </c>
      <c r="B50" s="3">
        <v>2104</v>
      </c>
      <c r="C50" s="3"/>
      <c r="D50" s="10" t="s">
        <v>2487</v>
      </c>
      <c r="E50" s="10"/>
      <c r="F50" s="11"/>
      <c r="G50" s="11"/>
    </row>
    <row r="51" customHeight="1" spans="1:7">
      <c r="A51" s="3" t="s">
        <v>2472</v>
      </c>
      <c r="B51" s="3">
        <v>2104</v>
      </c>
      <c r="C51" s="3" t="s">
        <v>1847</v>
      </c>
      <c r="D51" s="10" t="s">
        <v>2488</v>
      </c>
      <c r="E51" s="10" t="s">
        <v>2489</v>
      </c>
      <c r="F51" s="11" t="s">
        <v>1462</v>
      </c>
      <c r="G51" s="11">
        <v>1450</v>
      </c>
    </row>
    <row r="52" customHeight="1" spans="1:7">
      <c r="A52" s="3" t="s">
        <v>2475</v>
      </c>
      <c r="B52" s="3">
        <v>2104</v>
      </c>
      <c r="C52" s="3" t="s">
        <v>1847</v>
      </c>
      <c r="D52" s="10" t="s">
        <v>2488</v>
      </c>
      <c r="E52" s="10" t="s">
        <v>2554</v>
      </c>
      <c r="F52" s="11" t="s">
        <v>1462</v>
      </c>
      <c r="G52" s="11">
        <v>350</v>
      </c>
    </row>
    <row r="53" customHeight="1" spans="1:7">
      <c r="A53" s="3" t="s">
        <v>2476</v>
      </c>
      <c r="B53" s="3">
        <v>2104</v>
      </c>
      <c r="C53" s="3" t="s">
        <v>1843</v>
      </c>
      <c r="D53" s="10" t="s">
        <v>2490</v>
      </c>
      <c r="E53" s="10" t="s">
        <v>2491</v>
      </c>
      <c r="F53" s="11" t="s">
        <v>1462</v>
      </c>
      <c r="G53" s="11">
        <v>500</v>
      </c>
    </row>
    <row r="54" customHeight="1" spans="1:7">
      <c r="A54" s="3" t="s">
        <v>2479</v>
      </c>
      <c r="B54" s="3">
        <v>2104</v>
      </c>
      <c r="C54" s="3" t="s">
        <v>831</v>
      </c>
      <c r="D54" s="10" t="s">
        <v>831</v>
      </c>
      <c r="E54" s="10" t="s">
        <v>2327</v>
      </c>
      <c r="F54" s="11" t="s">
        <v>1462</v>
      </c>
      <c r="G54" s="11">
        <v>460</v>
      </c>
    </row>
    <row r="55" customHeight="1" spans="1:7">
      <c r="A55" s="3" t="s">
        <v>2482</v>
      </c>
      <c r="B55" s="3">
        <v>2104</v>
      </c>
      <c r="C55" s="3" t="s">
        <v>1754</v>
      </c>
      <c r="D55" s="10" t="s">
        <v>2492</v>
      </c>
      <c r="E55" s="10" t="s">
        <v>2327</v>
      </c>
      <c r="F55" s="11" t="s">
        <v>23</v>
      </c>
      <c r="G55" s="11">
        <v>46</v>
      </c>
    </row>
    <row r="56" customHeight="1" spans="1:7">
      <c r="A56" s="3" t="s">
        <v>2484</v>
      </c>
      <c r="B56" s="3">
        <v>2104</v>
      </c>
      <c r="C56" s="3" t="s">
        <v>865</v>
      </c>
      <c r="D56" s="10" t="s">
        <v>2493</v>
      </c>
      <c r="E56" s="10" t="s">
        <v>2494</v>
      </c>
      <c r="F56" s="11" t="s">
        <v>1462</v>
      </c>
      <c r="G56" s="11">
        <v>50</v>
      </c>
    </row>
    <row r="57" customHeight="1" spans="1:7">
      <c r="A57" s="3" t="s">
        <v>2496</v>
      </c>
      <c r="B57" s="3">
        <v>2104</v>
      </c>
      <c r="C57" s="3" t="s">
        <v>824</v>
      </c>
      <c r="D57" s="10" t="s">
        <v>824</v>
      </c>
      <c r="E57" s="10" t="s">
        <v>2555</v>
      </c>
      <c r="F57" s="11" t="s">
        <v>1462</v>
      </c>
      <c r="G57" s="11">
        <v>46</v>
      </c>
    </row>
    <row r="58" customHeight="1" spans="1:7">
      <c r="A58" s="3" t="s">
        <v>2511</v>
      </c>
      <c r="B58" s="3">
        <v>2104</v>
      </c>
      <c r="C58" s="3" t="s">
        <v>865</v>
      </c>
      <c r="D58" s="10" t="s">
        <v>2556</v>
      </c>
      <c r="E58" s="10" t="s">
        <v>2557</v>
      </c>
      <c r="F58" s="11" t="s">
        <v>2558</v>
      </c>
      <c r="G58" s="11">
        <v>10</v>
      </c>
    </row>
    <row r="59" customHeight="1" spans="1:7">
      <c r="A59" s="3" t="s">
        <v>2514</v>
      </c>
      <c r="B59" s="3">
        <v>2104</v>
      </c>
      <c r="C59" s="3" t="s">
        <v>681</v>
      </c>
      <c r="D59" s="10" t="s">
        <v>681</v>
      </c>
      <c r="E59" s="10" t="s">
        <v>2495</v>
      </c>
      <c r="F59" s="11" t="s">
        <v>1462</v>
      </c>
      <c r="G59" s="11">
        <v>45</v>
      </c>
    </row>
    <row r="60" customHeight="1" spans="1:7">
      <c r="A60" s="3" t="s">
        <v>2516</v>
      </c>
      <c r="B60" s="3">
        <v>2104</v>
      </c>
      <c r="C60" s="3"/>
      <c r="D60" s="10" t="s">
        <v>2497</v>
      </c>
      <c r="E60" s="10" t="s">
        <v>2498</v>
      </c>
      <c r="F60" s="11" t="s">
        <v>1462</v>
      </c>
      <c r="G60" s="11">
        <v>9</v>
      </c>
    </row>
    <row r="61" customHeight="1" spans="1:7">
      <c r="A61" s="3"/>
      <c r="B61" s="3"/>
      <c r="C61" s="3"/>
      <c r="D61" s="10"/>
      <c r="E61" s="10"/>
      <c r="F61" s="11"/>
      <c r="G61" s="31"/>
    </row>
    <row r="62" s="1" customFormat="1" customHeight="1" spans="1:7">
      <c r="A62" s="12"/>
      <c r="B62" s="12"/>
      <c r="C62" s="12"/>
      <c r="D62" s="13" t="s">
        <v>34</v>
      </c>
      <c r="E62" s="13"/>
      <c r="F62" s="14"/>
      <c r="G62" s="32"/>
    </row>
    <row r="63" customHeight="1" spans="1:7">
      <c r="A63" s="3" t="s">
        <v>35</v>
      </c>
      <c r="B63" s="3"/>
      <c r="C63" s="3"/>
      <c r="D63" s="10" t="s">
        <v>2112</v>
      </c>
      <c r="E63" s="10"/>
      <c r="F63" s="11"/>
      <c r="G63" s="11"/>
    </row>
    <row r="64" customHeight="1" spans="1:7">
      <c r="A64" s="3">
        <v>1</v>
      </c>
      <c r="B64" s="3"/>
      <c r="C64" s="3"/>
      <c r="D64" s="10" t="s">
        <v>2471</v>
      </c>
      <c r="E64" s="10"/>
      <c r="F64" s="11"/>
      <c r="G64" s="11"/>
    </row>
    <row r="65" customHeight="1" spans="1:7">
      <c r="A65" s="3">
        <v>1.1</v>
      </c>
      <c r="B65" s="3">
        <v>2105</v>
      </c>
      <c r="C65" s="3"/>
      <c r="D65" s="10" t="s">
        <v>2559</v>
      </c>
      <c r="E65" s="10"/>
      <c r="F65" s="11"/>
      <c r="G65" s="11"/>
    </row>
    <row r="66" customHeight="1" spans="1:7">
      <c r="A66" s="3" t="s">
        <v>2472</v>
      </c>
      <c r="B66" s="3">
        <v>2105</v>
      </c>
      <c r="C66" s="3"/>
      <c r="D66" s="10" t="s">
        <v>2473</v>
      </c>
      <c r="E66" s="10" t="s">
        <v>2474</v>
      </c>
      <c r="F66" s="11" t="s">
        <v>12</v>
      </c>
      <c r="G66" s="11">
        <v>12</v>
      </c>
    </row>
    <row r="67" customHeight="1" spans="1:7">
      <c r="A67" s="3" t="s">
        <v>2475</v>
      </c>
      <c r="B67" s="3">
        <v>2105</v>
      </c>
      <c r="C67" s="3"/>
      <c r="D67" s="10" t="s">
        <v>2473</v>
      </c>
      <c r="E67" s="10" t="s">
        <v>2474</v>
      </c>
      <c r="F67" s="11" t="s">
        <v>12</v>
      </c>
      <c r="G67" s="11">
        <v>14</v>
      </c>
    </row>
    <row r="68" customHeight="1" spans="1:7">
      <c r="A68" s="3" t="s">
        <v>2476</v>
      </c>
      <c r="B68" s="3">
        <v>2105</v>
      </c>
      <c r="C68" s="3"/>
      <c r="D68" s="10" t="s">
        <v>2533</v>
      </c>
      <c r="E68" s="10" t="s">
        <v>2560</v>
      </c>
      <c r="F68" s="11" t="s">
        <v>23</v>
      </c>
      <c r="G68" s="11">
        <v>3</v>
      </c>
    </row>
    <row r="69" customHeight="1" spans="1:7">
      <c r="A69" s="3" t="s">
        <v>2479</v>
      </c>
      <c r="B69" s="3">
        <v>2105</v>
      </c>
      <c r="C69" s="3"/>
      <c r="D69" s="10" t="s">
        <v>2533</v>
      </c>
      <c r="E69" s="10" t="s">
        <v>2561</v>
      </c>
      <c r="F69" s="11" t="s">
        <v>23</v>
      </c>
      <c r="G69" s="11">
        <v>4</v>
      </c>
    </row>
    <row r="70" customHeight="1" spans="1:7">
      <c r="A70" s="3" t="s">
        <v>2482</v>
      </c>
      <c r="B70" s="3">
        <v>2105</v>
      </c>
      <c r="C70" s="3"/>
      <c r="D70" s="10" t="s">
        <v>2533</v>
      </c>
      <c r="E70" s="10" t="s">
        <v>2562</v>
      </c>
      <c r="F70" s="11" t="s">
        <v>23</v>
      </c>
      <c r="G70" s="11">
        <v>10</v>
      </c>
    </row>
    <row r="71" customHeight="1" spans="1:7">
      <c r="A71" s="3">
        <v>1.2</v>
      </c>
      <c r="B71" s="3"/>
      <c r="C71" s="3"/>
      <c r="D71" s="10" t="s">
        <v>2563</v>
      </c>
      <c r="E71" s="10"/>
      <c r="F71" s="11"/>
      <c r="G71" s="11"/>
    </row>
    <row r="72" customHeight="1" spans="1:7">
      <c r="A72" s="3" t="s">
        <v>2472</v>
      </c>
      <c r="B72" s="3">
        <v>2105</v>
      </c>
      <c r="C72" s="3"/>
      <c r="D72" s="10" t="s">
        <v>2354</v>
      </c>
      <c r="E72" s="10" t="s">
        <v>2564</v>
      </c>
      <c r="F72" s="11" t="s">
        <v>12</v>
      </c>
      <c r="G72" s="11">
        <v>2</v>
      </c>
    </row>
    <row r="73" customHeight="1" spans="1:7">
      <c r="A73" s="3" t="s">
        <v>2475</v>
      </c>
      <c r="B73" s="3">
        <v>2105</v>
      </c>
      <c r="C73" s="3"/>
      <c r="D73" s="10" t="s">
        <v>2565</v>
      </c>
      <c r="E73" s="10" t="s">
        <v>2566</v>
      </c>
      <c r="F73" s="11" t="s">
        <v>2351</v>
      </c>
      <c r="G73" s="11">
        <v>2</v>
      </c>
    </row>
    <row r="74" customHeight="1" spans="1:7">
      <c r="A74" s="3" t="s">
        <v>2476</v>
      </c>
      <c r="B74" s="3">
        <v>2105</v>
      </c>
      <c r="C74" s="3"/>
      <c r="D74" s="10" t="s">
        <v>2504</v>
      </c>
      <c r="E74" s="10" t="s">
        <v>2505</v>
      </c>
      <c r="F74" s="11" t="s">
        <v>2348</v>
      </c>
      <c r="G74" s="11">
        <v>2</v>
      </c>
    </row>
    <row r="75" customHeight="1" spans="1:7">
      <c r="A75" s="3" t="s">
        <v>2479</v>
      </c>
      <c r="B75" s="3">
        <v>2105</v>
      </c>
      <c r="C75" s="3"/>
      <c r="D75" s="10" t="s">
        <v>2346</v>
      </c>
      <c r="E75" s="10" t="s">
        <v>2506</v>
      </c>
      <c r="F75" s="11" t="s">
        <v>12</v>
      </c>
      <c r="G75" s="11">
        <v>1</v>
      </c>
    </row>
    <row r="76" customHeight="1" spans="1:7">
      <c r="A76" s="3">
        <v>1.3</v>
      </c>
      <c r="B76" s="3"/>
      <c r="C76" s="3"/>
      <c r="D76" s="10" t="s">
        <v>1751</v>
      </c>
      <c r="E76" s="10"/>
      <c r="F76" s="11"/>
      <c r="G76" s="11"/>
    </row>
    <row r="77" customHeight="1" spans="1:7">
      <c r="A77" s="3" t="s">
        <v>2472</v>
      </c>
      <c r="B77" s="3">
        <v>2105</v>
      </c>
      <c r="C77" s="3"/>
      <c r="D77" s="10" t="s">
        <v>2346</v>
      </c>
      <c r="E77" s="10" t="s">
        <v>2506</v>
      </c>
      <c r="F77" s="11" t="s">
        <v>12</v>
      </c>
      <c r="G77" s="11">
        <v>1</v>
      </c>
    </row>
    <row r="78" customHeight="1" spans="1:7">
      <c r="A78" s="3" t="s">
        <v>2475</v>
      </c>
      <c r="B78" s="3">
        <v>2105</v>
      </c>
      <c r="C78" s="3"/>
      <c r="D78" s="10" t="s">
        <v>2504</v>
      </c>
      <c r="E78" s="10" t="s">
        <v>2505</v>
      </c>
      <c r="F78" s="11" t="s">
        <v>2348</v>
      </c>
      <c r="G78" s="11">
        <v>2</v>
      </c>
    </row>
    <row r="79" customHeight="1" spans="1:7">
      <c r="A79" s="3" t="s">
        <v>2476</v>
      </c>
      <c r="B79" s="3">
        <v>2105</v>
      </c>
      <c r="C79" s="3"/>
      <c r="D79" s="10" t="s">
        <v>2565</v>
      </c>
      <c r="E79" s="10" t="s">
        <v>2566</v>
      </c>
      <c r="F79" s="11" t="s">
        <v>2351</v>
      </c>
      <c r="G79" s="11">
        <v>1</v>
      </c>
    </row>
    <row r="80" customHeight="1" spans="1:7">
      <c r="A80" s="3" t="s">
        <v>2479</v>
      </c>
      <c r="B80" s="3">
        <v>2105</v>
      </c>
      <c r="C80" s="3"/>
      <c r="D80" s="10" t="s">
        <v>2508</v>
      </c>
      <c r="E80" s="10" t="s">
        <v>2567</v>
      </c>
      <c r="F80" s="11" t="s">
        <v>12</v>
      </c>
      <c r="G80" s="11">
        <v>0</v>
      </c>
    </row>
    <row r="81" customHeight="1" spans="1:7">
      <c r="A81" s="3" t="s">
        <v>2482</v>
      </c>
      <c r="B81" s="3">
        <v>2105</v>
      </c>
      <c r="C81" s="3"/>
      <c r="D81" s="10" t="s">
        <v>2508</v>
      </c>
      <c r="E81" s="10" t="s">
        <v>2568</v>
      </c>
      <c r="F81" s="11" t="s">
        <v>12</v>
      </c>
      <c r="G81" s="11">
        <v>1</v>
      </c>
    </row>
    <row r="82" customHeight="1" spans="1:7">
      <c r="A82" s="3" t="s">
        <v>2484</v>
      </c>
      <c r="B82" s="3">
        <v>2105</v>
      </c>
      <c r="C82" s="3"/>
      <c r="D82" s="10" t="s">
        <v>2508</v>
      </c>
      <c r="E82" s="10" t="s">
        <v>2569</v>
      </c>
      <c r="F82" s="11" t="s">
        <v>12</v>
      </c>
      <c r="G82" s="11">
        <v>1</v>
      </c>
    </row>
    <row r="83" customHeight="1" spans="1:7">
      <c r="A83" s="3" t="s">
        <v>2496</v>
      </c>
      <c r="B83" s="3">
        <v>2105</v>
      </c>
      <c r="C83" s="3"/>
      <c r="D83" s="10" t="s">
        <v>2570</v>
      </c>
      <c r="E83" s="10" t="s">
        <v>2571</v>
      </c>
      <c r="F83" s="11" t="s">
        <v>12</v>
      </c>
      <c r="G83" s="11">
        <v>1</v>
      </c>
    </row>
    <row r="84" customHeight="1" spans="1:7">
      <c r="A84" s="3" t="s">
        <v>2511</v>
      </c>
      <c r="B84" s="3">
        <v>2105</v>
      </c>
      <c r="C84" s="3"/>
      <c r="D84" s="10" t="s">
        <v>2570</v>
      </c>
      <c r="E84" s="10" t="s">
        <v>2572</v>
      </c>
      <c r="F84" s="11" t="s">
        <v>12</v>
      </c>
      <c r="G84" s="11">
        <v>1</v>
      </c>
    </row>
    <row r="85" customHeight="1" spans="1:7">
      <c r="A85" s="3" t="s">
        <v>2514</v>
      </c>
      <c r="B85" s="3">
        <v>2105</v>
      </c>
      <c r="C85" s="3"/>
      <c r="D85" s="10" t="s">
        <v>2570</v>
      </c>
      <c r="E85" s="10" t="s">
        <v>2573</v>
      </c>
      <c r="F85" s="11" t="s">
        <v>12</v>
      </c>
      <c r="G85" s="11">
        <v>1</v>
      </c>
    </row>
    <row r="86" customHeight="1" spans="1:7">
      <c r="A86" s="3" t="s">
        <v>2516</v>
      </c>
      <c r="B86" s="3">
        <v>2105</v>
      </c>
      <c r="C86" s="3"/>
      <c r="D86" s="10" t="s">
        <v>2570</v>
      </c>
      <c r="E86" s="10" t="s">
        <v>2574</v>
      </c>
      <c r="F86" s="11" t="s">
        <v>12</v>
      </c>
      <c r="G86" s="11">
        <v>2</v>
      </c>
    </row>
    <row r="87" customHeight="1" spans="1:7">
      <c r="A87" s="3" t="s">
        <v>2518</v>
      </c>
      <c r="B87" s="3">
        <v>2105</v>
      </c>
      <c r="C87" s="3"/>
      <c r="D87" s="10" t="s">
        <v>2570</v>
      </c>
      <c r="E87" s="10" t="s">
        <v>2575</v>
      </c>
      <c r="F87" s="11" t="s">
        <v>12</v>
      </c>
      <c r="G87" s="11">
        <v>2</v>
      </c>
    </row>
    <row r="88" customHeight="1" spans="1:7">
      <c r="A88" s="3" t="s">
        <v>2520</v>
      </c>
      <c r="B88" s="3">
        <v>2105</v>
      </c>
      <c r="C88" s="3"/>
      <c r="D88" s="10" t="s">
        <v>2521</v>
      </c>
      <c r="E88" s="10" t="s">
        <v>2576</v>
      </c>
      <c r="F88" s="11" t="s">
        <v>12</v>
      </c>
      <c r="G88" s="11">
        <v>1</v>
      </c>
    </row>
    <row r="89" customHeight="1" spans="1:7">
      <c r="A89" s="3">
        <v>1.4</v>
      </c>
      <c r="B89" s="3"/>
      <c r="C89" s="3"/>
      <c r="D89" s="10" t="s">
        <v>2577</v>
      </c>
      <c r="E89" s="10"/>
      <c r="F89" s="11"/>
      <c r="G89" s="11"/>
    </row>
    <row r="90" customHeight="1" spans="1:7">
      <c r="A90" s="3" t="s">
        <v>2472</v>
      </c>
      <c r="B90" s="3">
        <v>2105</v>
      </c>
      <c r="C90" s="3"/>
      <c r="D90" s="10" t="s">
        <v>2565</v>
      </c>
      <c r="E90" s="10" t="s">
        <v>2566</v>
      </c>
      <c r="F90" s="11" t="s">
        <v>2351</v>
      </c>
      <c r="G90" s="11">
        <v>2</v>
      </c>
    </row>
    <row r="91" customHeight="1" spans="1:7">
      <c r="A91" s="3" t="s">
        <v>2475</v>
      </c>
      <c r="B91" s="3">
        <v>2105</v>
      </c>
      <c r="C91" s="3"/>
      <c r="D91" s="10" t="s">
        <v>2346</v>
      </c>
      <c r="E91" s="10" t="s">
        <v>2506</v>
      </c>
      <c r="F91" s="11" t="s">
        <v>12</v>
      </c>
      <c r="G91" s="11">
        <v>19</v>
      </c>
    </row>
    <row r="92" customHeight="1" spans="1:7">
      <c r="A92" s="3" t="s">
        <v>2476</v>
      </c>
      <c r="B92" s="3">
        <v>2105</v>
      </c>
      <c r="C92" s="3"/>
      <c r="D92" s="10" t="s">
        <v>2521</v>
      </c>
      <c r="E92" s="10" t="s">
        <v>2578</v>
      </c>
      <c r="F92" s="11" t="s">
        <v>12</v>
      </c>
      <c r="G92" s="11">
        <v>2</v>
      </c>
    </row>
    <row r="93" customHeight="1" spans="1:7">
      <c r="A93" s="3" t="s">
        <v>2479</v>
      </c>
      <c r="B93" s="3">
        <v>2105</v>
      </c>
      <c r="C93" s="3"/>
      <c r="D93" s="10" t="s">
        <v>2508</v>
      </c>
      <c r="E93" s="10" t="s">
        <v>2579</v>
      </c>
      <c r="F93" s="11" t="s">
        <v>12</v>
      </c>
      <c r="G93" s="11">
        <v>1</v>
      </c>
    </row>
    <row r="94" customHeight="1" spans="1:7">
      <c r="A94" s="3" t="s">
        <v>2482</v>
      </c>
      <c r="B94" s="3">
        <v>2105</v>
      </c>
      <c r="C94" s="3"/>
      <c r="D94" s="10" t="s">
        <v>2580</v>
      </c>
      <c r="E94" s="10" t="s">
        <v>2558</v>
      </c>
      <c r="F94" s="11" t="s">
        <v>12</v>
      </c>
      <c r="G94" s="11">
        <v>16</v>
      </c>
    </row>
    <row r="95" customHeight="1" spans="1:7">
      <c r="A95" s="3" t="s">
        <v>2484</v>
      </c>
      <c r="B95" s="3">
        <v>2105</v>
      </c>
      <c r="C95" s="3"/>
      <c r="D95" s="10" t="s">
        <v>2504</v>
      </c>
      <c r="E95" s="10" t="s">
        <v>2505</v>
      </c>
      <c r="F95" s="11" t="s">
        <v>2348</v>
      </c>
      <c r="G95" s="11">
        <v>3</v>
      </c>
    </row>
    <row r="96" customHeight="1" spans="1:7">
      <c r="A96" s="3" t="s">
        <v>2496</v>
      </c>
      <c r="B96" s="3">
        <v>2105</v>
      </c>
      <c r="C96" s="3"/>
      <c r="D96" s="10" t="s">
        <v>2581</v>
      </c>
      <c r="E96" s="10" t="s">
        <v>2582</v>
      </c>
      <c r="F96" s="11" t="s">
        <v>23</v>
      </c>
      <c r="G96" s="11">
        <v>0</v>
      </c>
    </row>
    <row r="97" customHeight="1" spans="1:7">
      <c r="A97" s="3">
        <v>1.5</v>
      </c>
      <c r="B97" s="3"/>
      <c r="C97" s="3"/>
      <c r="D97" s="10" t="s">
        <v>2583</v>
      </c>
      <c r="E97" s="10"/>
      <c r="F97" s="11"/>
      <c r="G97" s="11"/>
    </row>
    <row r="98" customHeight="1" spans="1:7">
      <c r="A98" s="3" t="s">
        <v>2584</v>
      </c>
      <c r="B98" s="3"/>
      <c r="C98" s="3"/>
      <c r="D98" s="10" t="s">
        <v>2585</v>
      </c>
      <c r="E98" s="10"/>
      <c r="F98" s="11"/>
      <c r="G98" s="11"/>
    </row>
    <row r="99" customHeight="1" spans="1:7">
      <c r="A99" s="3" t="s">
        <v>2472</v>
      </c>
      <c r="B99" s="3">
        <v>2105</v>
      </c>
      <c r="C99" s="3"/>
      <c r="D99" s="10" t="s">
        <v>2565</v>
      </c>
      <c r="E99" s="10" t="s">
        <v>2586</v>
      </c>
      <c r="F99" s="11" t="s">
        <v>2351</v>
      </c>
      <c r="G99" s="11">
        <v>1</v>
      </c>
    </row>
    <row r="100" customHeight="1" spans="1:7">
      <c r="A100" s="3" t="s">
        <v>2475</v>
      </c>
      <c r="B100" s="3">
        <v>2105</v>
      </c>
      <c r="C100" s="3"/>
      <c r="D100" s="10" t="s">
        <v>2504</v>
      </c>
      <c r="E100" s="10" t="s">
        <v>2505</v>
      </c>
      <c r="F100" s="11" t="s">
        <v>2348</v>
      </c>
      <c r="G100" s="11">
        <v>2</v>
      </c>
    </row>
    <row r="101" customHeight="1" spans="1:7">
      <c r="A101" s="3" t="s">
        <v>2476</v>
      </c>
      <c r="B101" s="3">
        <v>2105</v>
      </c>
      <c r="C101" s="3"/>
      <c r="D101" s="10" t="s">
        <v>2346</v>
      </c>
      <c r="E101" s="10" t="s">
        <v>2587</v>
      </c>
      <c r="F101" s="11" t="s">
        <v>12</v>
      </c>
      <c r="G101" s="11">
        <v>4</v>
      </c>
    </row>
    <row r="102" customHeight="1" spans="1:7">
      <c r="A102" s="3" t="s">
        <v>2479</v>
      </c>
      <c r="B102" s="3">
        <v>2105</v>
      </c>
      <c r="C102" s="3"/>
      <c r="D102" s="10" t="s">
        <v>2521</v>
      </c>
      <c r="E102" s="10" t="s">
        <v>2588</v>
      </c>
      <c r="F102" s="11" t="s">
        <v>12</v>
      </c>
      <c r="G102" s="11">
        <v>2</v>
      </c>
    </row>
    <row r="103" customHeight="1" spans="1:7">
      <c r="A103" s="3" t="s">
        <v>2482</v>
      </c>
      <c r="B103" s="3">
        <v>2105</v>
      </c>
      <c r="C103" s="3"/>
      <c r="D103" s="10" t="s">
        <v>2508</v>
      </c>
      <c r="E103" s="10" t="s">
        <v>2589</v>
      </c>
      <c r="F103" s="11" t="s">
        <v>12</v>
      </c>
      <c r="G103" s="11">
        <v>2</v>
      </c>
    </row>
    <row r="104" customHeight="1" spans="1:7">
      <c r="A104" s="3" t="s">
        <v>2484</v>
      </c>
      <c r="B104" s="3">
        <v>2105</v>
      </c>
      <c r="C104" s="3"/>
      <c r="D104" s="10" t="s">
        <v>2512</v>
      </c>
      <c r="E104" s="10" t="s">
        <v>2590</v>
      </c>
      <c r="F104" s="11" t="s">
        <v>12</v>
      </c>
      <c r="G104" s="11">
        <v>1</v>
      </c>
    </row>
    <row r="105" customHeight="1" spans="1:7">
      <c r="A105" s="3" t="s">
        <v>2591</v>
      </c>
      <c r="B105" s="3"/>
      <c r="C105" s="3"/>
      <c r="D105" s="10" t="s">
        <v>2592</v>
      </c>
      <c r="E105" s="10"/>
      <c r="F105" s="11"/>
      <c r="G105" s="11"/>
    </row>
    <row r="106" customHeight="1" spans="1:7">
      <c r="A106" s="3" t="s">
        <v>2472</v>
      </c>
      <c r="B106" s="3">
        <v>2105</v>
      </c>
      <c r="C106" s="3"/>
      <c r="D106" s="10" t="s">
        <v>2565</v>
      </c>
      <c r="E106" s="10" t="s">
        <v>2586</v>
      </c>
      <c r="F106" s="11" t="s">
        <v>2351</v>
      </c>
      <c r="G106" s="11">
        <v>1</v>
      </c>
    </row>
    <row r="107" customHeight="1" spans="1:7">
      <c r="A107" s="3" t="s">
        <v>2475</v>
      </c>
      <c r="B107" s="3">
        <v>2105</v>
      </c>
      <c r="C107" s="3"/>
      <c r="D107" s="10" t="s">
        <v>2504</v>
      </c>
      <c r="E107" s="10" t="s">
        <v>2505</v>
      </c>
      <c r="F107" s="11" t="s">
        <v>2348</v>
      </c>
      <c r="G107" s="11">
        <v>2</v>
      </c>
    </row>
    <row r="108" customHeight="1" spans="1:7">
      <c r="A108" s="3" t="s">
        <v>2476</v>
      </c>
      <c r="B108" s="3">
        <v>2105</v>
      </c>
      <c r="C108" s="3"/>
      <c r="D108" s="10" t="s">
        <v>2346</v>
      </c>
      <c r="E108" s="10" t="s">
        <v>2587</v>
      </c>
      <c r="F108" s="11" t="s">
        <v>12</v>
      </c>
      <c r="G108" s="11">
        <v>2</v>
      </c>
    </row>
    <row r="109" customHeight="1" spans="1:7">
      <c r="A109" s="3" t="s">
        <v>2479</v>
      </c>
      <c r="B109" s="3">
        <v>2105</v>
      </c>
      <c r="C109" s="3"/>
      <c r="D109" s="10" t="s">
        <v>2521</v>
      </c>
      <c r="E109" s="10" t="s">
        <v>2593</v>
      </c>
      <c r="F109" s="11" t="s">
        <v>12</v>
      </c>
      <c r="G109" s="11">
        <v>1</v>
      </c>
    </row>
    <row r="110" customHeight="1" spans="1:7">
      <c r="A110" s="3" t="s">
        <v>2482</v>
      </c>
      <c r="B110" s="3">
        <v>2105</v>
      </c>
      <c r="C110" s="3"/>
      <c r="D110" s="10" t="s">
        <v>2521</v>
      </c>
      <c r="E110" s="10" t="s">
        <v>2588</v>
      </c>
      <c r="F110" s="11" t="s">
        <v>12</v>
      </c>
      <c r="G110" s="11">
        <v>2</v>
      </c>
    </row>
    <row r="111" customHeight="1" spans="1:7">
      <c r="A111" s="3" t="s">
        <v>2484</v>
      </c>
      <c r="B111" s="3">
        <v>2105</v>
      </c>
      <c r="C111" s="3"/>
      <c r="D111" s="10" t="s">
        <v>2521</v>
      </c>
      <c r="E111" s="10" t="s">
        <v>2594</v>
      </c>
      <c r="F111" s="11" t="s">
        <v>12</v>
      </c>
      <c r="G111" s="11">
        <v>1</v>
      </c>
    </row>
    <row r="112" customHeight="1" spans="1:7">
      <c r="A112" s="3" t="s">
        <v>2496</v>
      </c>
      <c r="B112" s="3">
        <v>2105</v>
      </c>
      <c r="C112" s="3"/>
      <c r="D112" s="10" t="s">
        <v>2508</v>
      </c>
      <c r="E112" s="10" t="s">
        <v>2595</v>
      </c>
      <c r="F112" s="11" t="s">
        <v>12</v>
      </c>
      <c r="G112" s="11">
        <v>1</v>
      </c>
    </row>
    <row r="113" customHeight="1" spans="1:7">
      <c r="A113" s="3" t="s">
        <v>2511</v>
      </c>
      <c r="B113" s="3">
        <v>2105</v>
      </c>
      <c r="C113" s="3"/>
      <c r="D113" s="10" t="s">
        <v>2512</v>
      </c>
      <c r="E113" s="10" t="s">
        <v>2596</v>
      </c>
      <c r="F113" s="11" t="s">
        <v>12</v>
      </c>
      <c r="G113" s="11">
        <v>1</v>
      </c>
    </row>
    <row r="114" customHeight="1" spans="1:7">
      <c r="A114" s="3">
        <v>1.6</v>
      </c>
      <c r="B114" s="3"/>
      <c r="C114" s="3"/>
      <c r="D114" s="10" t="s">
        <v>2597</v>
      </c>
      <c r="E114" s="10"/>
      <c r="F114" s="11"/>
      <c r="G114" s="11"/>
    </row>
    <row r="115" customHeight="1" spans="1:7">
      <c r="A115" s="3" t="s">
        <v>2472</v>
      </c>
      <c r="B115" s="3">
        <v>2105</v>
      </c>
      <c r="C115" s="3"/>
      <c r="D115" s="10" t="s">
        <v>2504</v>
      </c>
      <c r="E115" s="10" t="s">
        <v>2505</v>
      </c>
      <c r="F115" s="11" t="s">
        <v>2348</v>
      </c>
      <c r="G115" s="11">
        <v>2</v>
      </c>
    </row>
    <row r="116" customHeight="1" spans="1:7">
      <c r="A116" s="3" t="s">
        <v>2475</v>
      </c>
      <c r="B116" s="3">
        <v>2105</v>
      </c>
      <c r="C116" s="3"/>
      <c r="D116" s="10" t="s">
        <v>2346</v>
      </c>
      <c r="E116" s="10" t="s">
        <v>2506</v>
      </c>
      <c r="F116" s="11" t="s">
        <v>12</v>
      </c>
      <c r="G116" s="11">
        <v>1</v>
      </c>
    </row>
    <row r="117" customHeight="1" spans="1:7">
      <c r="A117" s="3" t="s">
        <v>2476</v>
      </c>
      <c r="B117" s="3">
        <v>2105</v>
      </c>
      <c r="C117" s="3"/>
      <c r="D117" s="10" t="s">
        <v>2565</v>
      </c>
      <c r="E117" s="10" t="s">
        <v>2566</v>
      </c>
      <c r="F117" s="11" t="s">
        <v>2351</v>
      </c>
      <c r="G117" s="11">
        <v>2</v>
      </c>
    </row>
    <row r="118" customHeight="1" spans="1:7">
      <c r="A118" s="3" t="s">
        <v>2479</v>
      </c>
      <c r="B118" s="3">
        <v>2105</v>
      </c>
      <c r="C118" s="3"/>
      <c r="D118" s="10" t="s">
        <v>2354</v>
      </c>
      <c r="E118" s="10" t="s">
        <v>2598</v>
      </c>
      <c r="F118" s="11" t="s">
        <v>12</v>
      </c>
      <c r="G118" s="11">
        <v>2</v>
      </c>
    </row>
    <row r="119" customHeight="1" spans="1:7">
      <c r="A119" s="3" t="s">
        <v>2482</v>
      </c>
      <c r="B119" s="3">
        <v>2105</v>
      </c>
      <c r="C119" s="3"/>
      <c r="D119" s="10" t="s">
        <v>2521</v>
      </c>
      <c r="E119" s="10" t="s">
        <v>2599</v>
      </c>
      <c r="F119" s="11" t="s">
        <v>12</v>
      </c>
      <c r="G119" s="11">
        <v>2</v>
      </c>
    </row>
    <row r="120" customHeight="1" spans="1:7">
      <c r="A120" s="3">
        <v>1.7</v>
      </c>
      <c r="B120" s="3"/>
      <c r="C120" s="3"/>
      <c r="D120" s="10" t="s">
        <v>2600</v>
      </c>
      <c r="E120" s="10"/>
      <c r="F120" s="11"/>
      <c r="G120" s="11"/>
    </row>
    <row r="121" customHeight="1" spans="1:7">
      <c r="A121" s="3" t="s">
        <v>2472</v>
      </c>
      <c r="B121" s="3">
        <v>2105</v>
      </c>
      <c r="C121" s="3"/>
      <c r="D121" s="10" t="s">
        <v>2601</v>
      </c>
      <c r="E121" s="10" t="s">
        <v>2501</v>
      </c>
      <c r="F121" s="11" t="s">
        <v>12</v>
      </c>
      <c r="G121" s="11">
        <v>1</v>
      </c>
    </row>
    <row r="122" customHeight="1" spans="1:7">
      <c r="A122" s="3" t="s">
        <v>2475</v>
      </c>
      <c r="B122" s="3">
        <v>2105</v>
      </c>
      <c r="C122" s="3"/>
      <c r="D122" s="10" t="s">
        <v>2602</v>
      </c>
      <c r="E122" s="10" t="s">
        <v>2603</v>
      </c>
      <c r="F122" s="11" t="s">
        <v>12</v>
      </c>
      <c r="G122" s="11">
        <v>1</v>
      </c>
    </row>
    <row r="123" customHeight="1" spans="1:7">
      <c r="A123" s="3">
        <v>1.8</v>
      </c>
      <c r="B123" s="3"/>
      <c r="C123" s="3"/>
      <c r="D123" s="10" t="s">
        <v>2604</v>
      </c>
      <c r="E123" s="10"/>
      <c r="F123" s="11"/>
      <c r="G123" s="11"/>
    </row>
    <row r="124" customHeight="1" spans="1:7">
      <c r="A124" s="3" t="s">
        <v>2472</v>
      </c>
      <c r="B124" s="3">
        <v>2105</v>
      </c>
      <c r="C124" s="3"/>
      <c r="D124" s="10" t="s">
        <v>2502</v>
      </c>
      <c r="E124" s="10" t="s">
        <v>2503</v>
      </c>
      <c r="F124" s="11" t="s">
        <v>12</v>
      </c>
      <c r="G124" s="11">
        <v>4</v>
      </c>
    </row>
    <row r="125" customHeight="1" spans="1:7">
      <c r="A125" s="3" t="s">
        <v>2475</v>
      </c>
      <c r="B125" s="3">
        <v>2105</v>
      </c>
      <c r="C125" s="3"/>
      <c r="D125" s="10" t="s">
        <v>2558</v>
      </c>
      <c r="E125" s="10" t="s">
        <v>2605</v>
      </c>
      <c r="F125" s="11" t="s">
        <v>23</v>
      </c>
      <c r="G125" s="11">
        <v>2</v>
      </c>
    </row>
    <row r="126" customHeight="1" spans="1:7">
      <c r="A126" s="3" t="s">
        <v>2476</v>
      </c>
      <c r="B126" s="3">
        <v>2105</v>
      </c>
      <c r="C126" s="3"/>
      <c r="D126" s="10" t="s">
        <v>2606</v>
      </c>
      <c r="E126" s="10" t="s">
        <v>2607</v>
      </c>
      <c r="F126" s="11" t="s">
        <v>23</v>
      </c>
      <c r="G126" s="11">
        <v>1</v>
      </c>
    </row>
    <row r="127" customHeight="1" spans="1:7">
      <c r="A127" s="3"/>
      <c r="B127" s="3"/>
      <c r="C127" s="3"/>
      <c r="D127" s="10" t="s">
        <v>2608</v>
      </c>
      <c r="E127" s="10" t="s">
        <v>2558</v>
      </c>
      <c r="F127" s="11" t="s">
        <v>23</v>
      </c>
      <c r="G127" s="11">
        <v>1</v>
      </c>
    </row>
    <row r="128" customHeight="1" spans="1:7">
      <c r="A128" s="3"/>
      <c r="B128" s="3"/>
      <c r="C128" s="3"/>
      <c r="D128" s="10" t="s">
        <v>2609</v>
      </c>
      <c r="E128" s="10" t="s">
        <v>2610</v>
      </c>
      <c r="F128" s="11" t="s">
        <v>26</v>
      </c>
      <c r="G128" s="11">
        <v>1</v>
      </c>
    </row>
    <row r="129" customHeight="1" spans="1:7">
      <c r="A129" s="3" t="s">
        <v>2479</v>
      </c>
      <c r="B129" s="3">
        <v>2105</v>
      </c>
      <c r="C129" s="3"/>
      <c r="D129" s="10" t="s">
        <v>2504</v>
      </c>
      <c r="E129" s="10" t="s">
        <v>2505</v>
      </c>
      <c r="F129" s="11" t="s">
        <v>2348</v>
      </c>
      <c r="G129" s="11">
        <v>2</v>
      </c>
    </row>
    <row r="130" customHeight="1" spans="1:7">
      <c r="A130" s="3" t="s">
        <v>2482</v>
      </c>
      <c r="B130" s="3">
        <v>2105</v>
      </c>
      <c r="C130" s="3"/>
      <c r="D130" s="10" t="s">
        <v>2611</v>
      </c>
      <c r="E130" s="10" t="s">
        <v>2612</v>
      </c>
      <c r="F130" s="11" t="s">
        <v>12</v>
      </c>
      <c r="G130" s="11">
        <v>2</v>
      </c>
    </row>
    <row r="131" customHeight="1" spans="1:7">
      <c r="A131" s="3" t="s">
        <v>2484</v>
      </c>
      <c r="B131" s="3">
        <v>2105</v>
      </c>
      <c r="C131" s="3"/>
      <c r="D131" s="10" t="s">
        <v>2558</v>
      </c>
      <c r="E131" s="10" t="s">
        <v>2613</v>
      </c>
      <c r="F131" s="11" t="s">
        <v>12</v>
      </c>
      <c r="G131" s="11">
        <v>7</v>
      </c>
    </row>
    <row r="132" customHeight="1" spans="1:7">
      <c r="A132" s="3" t="s">
        <v>2496</v>
      </c>
      <c r="B132" s="3">
        <v>2105</v>
      </c>
      <c r="C132" s="3"/>
      <c r="D132" s="10" t="s">
        <v>2480</v>
      </c>
      <c r="E132" s="10" t="s">
        <v>2481</v>
      </c>
      <c r="F132" s="11" t="s">
        <v>26</v>
      </c>
      <c r="G132" s="11">
        <v>154</v>
      </c>
    </row>
    <row r="133" customHeight="1" spans="1:7">
      <c r="A133" s="3" t="s">
        <v>2511</v>
      </c>
      <c r="B133" s="3">
        <v>2105</v>
      </c>
      <c r="C133" s="3"/>
      <c r="D133" s="10" t="s">
        <v>2548</v>
      </c>
      <c r="E133" s="10" t="s">
        <v>2481</v>
      </c>
      <c r="F133" s="11" t="s">
        <v>26</v>
      </c>
      <c r="G133" s="11">
        <v>10</v>
      </c>
    </row>
    <row r="134" customHeight="1" spans="1:7">
      <c r="A134" s="3" t="s">
        <v>2514</v>
      </c>
      <c r="B134" s="3">
        <v>2105</v>
      </c>
      <c r="C134" s="3"/>
      <c r="D134" s="10" t="s">
        <v>2483</v>
      </c>
      <c r="E134" s="10" t="s">
        <v>2481</v>
      </c>
      <c r="F134" s="11" t="s">
        <v>26</v>
      </c>
      <c r="G134" s="11">
        <v>25</v>
      </c>
    </row>
    <row r="135" customHeight="1" spans="1:7">
      <c r="A135" s="3" t="s">
        <v>2516</v>
      </c>
      <c r="B135" s="3">
        <v>2105</v>
      </c>
      <c r="C135" s="3"/>
      <c r="D135" s="10" t="s">
        <v>2551</v>
      </c>
      <c r="E135" s="10" t="s">
        <v>2614</v>
      </c>
      <c r="F135" s="11" t="s">
        <v>26</v>
      </c>
      <c r="G135" s="11">
        <v>99</v>
      </c>
    </row>
    <row r="136" customHeight="1" spans="1:7">
      <c r="A136" s="3" t="s">
        <v>2518</v>
      </c>
      <c r="B136" s="3">
        <v>2105</v>
      </c>
      <c r="C136" s="3"/>
      <c r="D136" s="10" t="s">
        <v>2485</v>
      </c>
      <c r="E136" s="10" t="s">
        <v>2486</v>
      </c>
      <c r="F136" s="11" t="s">
        <v>26</v>
      </c>
      <c r="G136" s="11">
        <v>43</v>
      </c>
    </row>
    <row r="137" customHeight="1" spans="1:7">
      <c r="A137" s="3" t="s">
        <v>2520</v>
      </c>
      <c r="B137" s="3">
        <v>2105</v>
      </c>
      <c r="C137" s="3"/>
      <c r="D137" s="10" t="s">
        <v>2615</v>
      </c>
      <c r="E137" s="10" t="s">
        <v>2616</v>
      </c>
      <c r="F137" s="11" t="s">
        <v>12</v>
      </c>
      <c r="G137" s="11">
        <v>1</v>
      </c>
    </row>
    <row r="138" customHeight="1" spans="1:7">
      <c r="A138" s="3" t="s">
        <v>2523</v>
      </c>
      <c r="B138" s="3">
        <v>2105</v>
      </c>
      <c r="C138" s="3"/>
      <c r="D138" s="10" t="s">
        <v>2617</v>
      </c>
      <c r="E138" s="10" t="s">
        <v>2618</v>
      </c>
      <c r="F138" s="11" t="s">
        <v>12</v>
      </c>
      <c r="G138" s="11">
        <v>2</v>
      </c>
    </row>
    <row r="139" customHeight="1" spans="1:7">
      <c r="A139" s="3">
        <v>2</v>
      </c>
      <c r="B139" s="3"/>
      <c r="C139" s="3"/>
      <c r="D139" s="10" t="s">
        <v>2487</v>
      </c>
      <c r="E139" s="10"/>
      <c r="F139" s="11"/>
      <c r="G139" s="11"/>
    </row>
    <row r="140" customHeight="1" spans="1:7">
      <c r="A140" s="3" t="s">
        <v>2472</v>
      </c>
      <c r="B140" s="3">
        <v>2105</v>
      </c>
      <c r="C140" s="3" t="s">
        <v>1847</v>
      </c>
      <c r="D140" s="10" t="s">
        <v>2488</v>
      </c>
      <c r="E140" s="10" t="s">
        <v>2489</v>
      </c>
      <c r="F140" s="11" t="s">
        <v>1462</v>
      </c>
      <c r="G140" s="11">
        <v>10320</v>
      </c>
    </row>
    <row r="141" customHeight="1" spans="1:7">
      <c r="A141" s="3" t="s">
        <v>2475</v>
      </c>
      <c r="B141" s="3">
        <v>2105</v>
      </c>
      <c r="C141" s="3" t="s">
        <v>1847</v>
      </c>
      <c r="D141" s="10" t="s">
        <v>2488</v>
      </c>
      <c r="E141" s="10" t="s">
        <v>2554</v>
      </c>
      <c r="F141" s="11" t="s">
        <v>1462</v>
      </c>
      <c r="G141" s="11">
        <v>840</v>
      </c>
    </row>
    <row r="142" customHeight="1" spans="1:7">
      <c r="A142" s="3" t="s">
        <v>2476</v>
      </c>
      <c r="B142" s="3">
        <v>2105</v>
      </c>
      <c r="C142" s="3" t="s">
        <v>1843</v>
      </c>
      <c r="D142" s="10" t="s">
        <v>2490</v>
      </c>
      <c r="E142" s="10" t="s">
        <v>2491</v>
      </c>
      <c r="F142" s="11" t="s">
        <v>1462</v>
      </c>
      <c r="G142" s="11">
        <v>3840</v>
      </c>
    </row>
    <row r="143" customHeight="1" spans="1:7">
      <c r="A143" s="3" t="s">
        <v>2479</v>
      </c>
      <c r="B143" s="3">
        <v>2105</v>
      </c>
      <c r="C143" s="3" t="s">
        <v>831</v>
      </c>
      <c r="D143" s="10" t="s">
        <v>831</v>
      </c>
      <c r="E143" s="10" t="s">
        <v>2327</v>
      </c>
      <c r="F143" s="11" t="s">
        <v>1462</v>
      </c>
      <c r="G143" s="11">
        <v>1250</v>
      </c>
    </row>
    <row r="144" customHeight="1" spans="1:7">
      <c r="A144" s="3" t="s">
        <v>2482</v>
      </c>
      <c r="B144" s="3">
        <v>2105</v>
      </c>
      <c r="C144" s="3" t="s">
        <v>1754</v>
      </c>
      <c r="D144" s="10" t="s">
        <v>2492</v>
      </c>
      <c r="E144" s="10" t="s">
        <v>2327</v>
      </c>
      <c r="F144" s="11" t="s">
        <v>23</v>
      </c>
      <c r="G144" s="11">
        <v>125</v>
      </c>
    </row>
    <row r="145" customHeight="1" spans="1:7">
      <c r="A145" s="3" t="s">
        <v>2484</v>
      </c>
      <c r="B145" s="3">
        <v>2105</v>
      </c>
      <c r="C145" s="3" t="s">
        <v>831</v>
      </c>
      <c r="D145" s="10" t="s">
        <v>831</v>
      </c>
      <c r="E145" s="10" t="s">
        <v>2325</v>
      </c>
      <c r="F145" s="11" t="s">
        <v>1462</v>
      </c>
      <c r="G145" s="11">
        <v>100</v>
      </c>
    </row>
    <row r="146" customHeight="1" spans="1:7">
      <c r="A146" s="3" t="s">
        <v>2496</v>
      </c>
      <c r="B146" s="3">
        <v>2105</v>
      </c>
      <c r="C146" s="3" t="s">
        <v>865</v>
      </c>
      <c r="D146" s="10" t="s">
        <v>2493</v>
      </c>
      <c r="E146" s="10" t="s">
        <v>2494</v>
      </c>
      <c r="F146" s="11" t="s">
        <v>1462</v>
      </c>
      <c r="G146" s="11">
        <v>150</v>
      </c>
    </row>
    <row r="147" customHeight="1" spans="1:7">
      <c r="A147" s="3" t="s">
        <v>2511</v>
      </c>
      <c r="B147" s="3">
        <v>2105</v>
      </c>
      <c r="C147" s="3" t="s">
        <v>865</v>
      </c>
      <c r="D147" s="10" t="s">
        <v>2619</v>
      </c>
      <c r="E147" s="10" t="s">
        <v>2620</v>
      </c>
      <c r="F147" s="11" t="s">
        <v>1462</v>
      </c>
      <c r="G147" s="11">
        <v>10</v>
      </c>
    </row>
    <row r="148" customHeight="1" spans="1:7">
      <c r="A148" s="3" t="s">
        <v>2514</v>
      </c>
      <c r="B148" s="3">
        <v>2105</v>
      </c>
      <c r="C148" s="3" t="s">
        <v>824</v>
      </c>
      <c r="D148" s="10" t="s">
        <v>824</v>
      </c>
      <c r="E148" s="10" t="s">
        <v>2555</v>
      </c>
      <c r="F148" s="11" t="s">
        <v>1462</v>
      </c>
      <c r="G148" s="11">
        <v>295</v>
      </c>
    </row>
    <row r="149" customHeight="1" spans="1:7">
      <c r="A149" s="3" t="s">
        <v>2516</v>
      </c>
      <c r="B149" s="3">
        <v>2105</v>
      </c>
      <c r="C149" s="3" t="s">
        <v>865</v>
      </c>
      <c r="D149" s="10" t="s">
        <v>2556</v>
      </c>
      <c r="E149" s="10" t="s">
        <v>2557</v>
      </c>
      <c r="F149" s="11" t="s">
        <v>2558</v>
      </c>
      <c r="G149" s="11">
        <v>15</v>
      </c>
    </row>
    <row r="150" customHeight="1" spans="1:7">
      <c r="A150" s="3" t="s">
        <v>2518</v>
      </c>
      <c r="B150" s="3">
        <v>2105</v>
      </c>
      <c r="C150" s="3" t="s">
        <v>681</v>
      </c>
      <c r="D150" s="10" t="s">
        <v>681</v>
      </c>
      <c r="E150" s="10" t="s">
        <v>2495</v>
      </c>
      <c r="F150" s="11" t="s">
        <v>1462</v>
      </c>
      <c r="G150" s="11">
        <v>215</v>
      </c>
    </row>
    <row r="151" customHeight="1" spans="1:7">
      <c r="A151" s="3" t="s">
        <v>2520</v>
      </c>
      <c r="B151" s="3">
        <v>2105</v>
      </c>
      <c r="C151" s="3"/>
      <c r="D151" s="10" t="s">
        <v>2497</v>
      </c>
      <c r="E151" s="10" t="s">
        <v>2498</v>
      </c>
      <c r="F151" s="11" t="s">
        <v>1462</v>
      </c>
      <c r="G151" s="11">
        <v>43</v>
      </c>
    </row>
    <row r="152" customHeight="1" spans="1:7">
      <c r="A152" s="3" t="s">
        <v>2523</v>
      </c>
      <c r="B152" s="3">
        <v>2105</v>
      </c>
      <c r="C152" s="3"/>
      <c r="D152" s="10" t="s">
        <v>2621</v>
      </c>
      <c r="E152" s="10" t="s">
        <v>2622</v>
      </c>
      <c r="F152" s="11" t="s">
        <v>1462</v>
      </c>
      <c r="G152" s="11">
        <v>10</v>
      </c>
    </row>
    <row r="153" customHeight="1" spans="1:7">
      <c r="A153" s="3" t="s">
        <v>54</v>
      </c>
      <c r="B153" s="3"/>
      <c r="C153" s="3"/>
      <c r="D153" s="10" t="s">
        <v>2623</v>
      </c>
      <c r="E153" s="10"/>
      <c r="F153" s="11"/>
      <c r="G153" s="11"/>
    </row>
    <row r="154" customHeight="1" spans="1:7">
      <c r="A154" s="3">
        <v>1</v>
      </c>
      <c r="B154" s="3"/>
      <c r="C154" s="3"/>
      <c r="D154" s="10" t="s">
        <v>2471</v>
      </c>
      <c r="E154" s="10"/>
      <c r="F154" s="11"/>
      <c r="G154" s="11"/>
    </row>
    <row r="155" customHeight="1" spans="1:7">
      <c r="A155" s="3" t="s">
        <v>2472</v>
      </c>
      <c r="B155" s="3">
        <v>2105</v>
      </c>
      <c r="C155" s="3"/>
      <c r="D155" s="10" t="s">
        <v>2502</v>
      </c>
      <c r="E155" s="10" t="s">
        <v>2624</v>
      </c>
      <c r="F155" s="11" t="s">
        <v>12</v>
      </c>
      <c r="G155" s="11">
        <v>0</v>
      </c>
    </row>
    <row r="156" customHeight="1" spans="1:7">
      <c r="A156" s="3" t="s">
        <v>2475</v>
      </c>
      <c r="B156" s="3">
        <v>2105</v>
      </c>
      <c r="C156" s="3"/>
      <c r="D156" s="10" t="s">
        <v>2625</v>
      </c>
      <c r="E156" s="10" t="s">
        <v>2626</v>
      </c>
      <c r="F156" s="11" t="s">
        <v>23</v>
      </c>
      <c r="G156" s="11">
        <v>0</v>
      </c>
    </row>
    <row r="157" customHeight="1" spans="1:7">
      <c r="A157" s="3" t="s">
        <v>2476</v>
      </c>
      <c r="B157" s="3">
        <v>2105</v>
      </c>
      <c r="C157" s="3"/>
      <c r="D157" s="10" t="s">
        <v>2627</v>
      </c>
      <c r="E157" s="10" t="s">
        <v>2628</v>
      </c>
      <c r="F157" s="11" t="s">
        <v>12</v>
      </c>
      <c r="G157" s="11">
        <v>0</v>
      </c>
    </row>
    <row r="158" customHeight="1" spans="1:7">
      <c r="A158" s="3" t="s">
        <v>2479</v>
      </c>
      <c r="B158" s="3">
        <v>2105</v>
      </c>
      <c r="C158" s="3"/>
      <c r="D158" s="10" t="s">
        <v>550</v>
      </c>
      <c r="E158" s="10" t="s">
        <v>2629</v>
      </c>
      <c r="F158" s="11" t="s">
        <v>26</v>
      </c>
      <c r="G158" s="11">
        <v>0</v>
      </c>
    </row>
    <row r="159" customHeight="1" spans="1:7">
      <c r="A159" s="3" t="s">
        <v>2482</v>
      </c>
      <c r="B159" s="3">
        <v>2105</v>
      </c>
      <c r="C159" s="3"/>
      <c r="D159" s="10" t="s">
        <v>2565</v>
      </c>
      <c r="E159" s="10" t="s">
        <v>2566</v>
      </c>
      <c r="F159" s="11" t="s">
        <v>2351</v>
      </c>
      <c r="G159" s="11">
        <v>0</v>
      </c>
    </row>
    <row r="160" customHeight="1" spans="1:7">
      <c r="A160" s="3" t="s">
        <v>2484</v>
      </c>
      <c r="B160" s="3">
        <v>2105</v>
      </c>
      <c r="C160" s="3"/>
      <c r="D160" s="10" t="s">
        <v>2346</v>
      </c>
      <c r="E160" s="10" t="s">
        <v>2506</v>
      </c>
      <c r="F160" s="11" t="s">
        <v>12</v>
      </c>
      <c r="G160" s="11">
        <v>0</v>
      </c>
    </row>
    <row r="161" customHeight="1" spans="1:7">
      <c r="A161" s="3" t="s">
        <v>2496</v>
      </c>
      <c r="B161" s="3">
        <v>2105</v>
      </c>
      <c r="C161" s="3"/>
      <c r="D161" s="10" t="s">
        <v>2504</v>
      </c>
      <c r="E161" s="10" t="s">
        <v>2505</v>
      </c>
      <c r="F161" s="11" t="s">
        <v>26</v>
      </c>
      <c r="G161" s="11">
        <v>0</v>
      </c>
    </row>
    <row r="162" customHeight="1" spans="1:7">
      <c r="A162" s="3" t="s">
        <v>2511</v>
      </c>
      <c r="B162" s="3">
        <v>2105</v>
      </c>
      <c r="C162" s="3"/>
      <c r="D162" s="10" t="s">
        <v>2354</v>
      </c>
      <c r="E162" s="10" t="s">
        <v>2630</v>
      </c>
      <c r="F162" s="11" t="s">
        <v>12</v>
      </c>
      <c r="G162" s="11">
        <v>0</v>
      </c>
    </row>
    <row r="163" customHeight="1" spans="1:7">
      <c r="A163" s="3" t="s">
        <v>2514</v>
      </c>
      <c r="B163" s="3">
        <v>2105</v>
      </c>
      <c r="C163" s="3"/>
      <c r="D163" s="10" t="s">
        <v>2354</v>
      </c>
      <c r="E163" s="10" t="s">
        <v>2631</v>
      </c>
      <c r="F163" s="11" t="s">
        <v>12</v>
      </c>
      <c r="G163" s="11">
        <v>0</v>
      </c>
    </row>
    <row r="164" customHeight="1" spans="1:7">
      <c r="A164" s="3" t="s">
        <v>2516</v>
      </c>
      <c r="B164" s="3">
        <v>2105</v>
      </c>
      <c r="C164" s="3"/>
      <c r="D164" s="10" t="s">
        <v>2512</v>
      </c>
      <c r="E164" s="10" t="s">
        <v>2632</v>
      </c>
      <c r="F164" s="11" t="s">
        <v>12</v>
      </c>
      <c r="G164" s="11">
        <v>0</v>
      </c>
    </row>
    <row r="165" customHeight="1" spans="1:7">
      <c r="A165" s="3" t="s">
        <v>2518</v>
      </c>
      <c r="B165" s="3">
        <v>2105</v>
      </c>
      <c r="C165" s="3"/>
      <c r="D165" s="10" t="s">
        <v>2521</v>
      </c>
      <c r="E165" s="10" t="s">
        <v>2633</v>
      </c>
      <c r="F165" s="11" t="s">
        <v>12</v>
      </c>
      <c r="G165" s="11">
        <v>0</v>
      </c>
    </row>
    <row r="166" customHeight="1" spans="1:7">
      <c r="A166" s="3" t="s">
        <v>2520</v>
      </c>
      <c r="B166" s="3">
        <v>2105</v>
      </c>
      <c r="C166" s="3"/>
      <c r="D166" s="10" t="s">
        <v>2521</v>
      </c>
      <c r="E166" s="10" t="s">
        <v>2634</v>
      </c>
      <c r="F166" s="11" t="s">
        <v>12</v>
      </c>
      <c r="G166" s="11">
        <v>0</v>
      </c>
    </row>
    <row r="167" customHeight="1" spans="1:7">
      <c r="A167" s="3" t="s">
        <v>2523</v>
      </c>
      <c r="B167" s="3">
        <v>2105</v>
      </c>
      <c r="C167" s="3"/>
      <c r="D167" s="10" t="s">
        <v>2521</v>
      </c>
      <c r="E167" s="10" t="s">
        <v>2635</v>
      </c>
      <c r="F167" s="11" t="s">
        <v>12</v>
      </c>
      <c r="G167" s="11">
        <v>0</v>
      </c>
    </row>
    <row r="168" customHeight="1" spans="1:7">
      <c r="A168" s="3" t="s">
        <v>2525</v>
      </c>
      <c r="B168" s="3">
        <v>2105</v>
      </c>
      <c r="C168" s="3"/>
      <c r="D168" s="10" t="s">
        <v>2617</v>
      </c>
      <c r="E168" s="10" t="s">
        <v>2618</v>
      </c>
      <c r="F168" s="11" t="s">
        <v>12</v>
      </c>
      <c r="G168" s="11">
        <v>0</v>
      </c>
    </row>
    <row r="169" customHeight="1" spans="1:7">
      <c r="A169" s="3" t="s">
        <v>2527</v>
      </c>
      <c r="B169" s="3">
        <v>2105</v>
      </c>
      <c r="C169" s="3"/>
      <c r="D169" s="10" t="s">
        <v>2480</v>
      </c>
      <c r="E169" s="10" t="s">
        <v>2481</v>
      </c>
      <c r="F169" s="11" t="s">
        <v>26</v>
      </c>
      <c r="G169" s="11">
        <v>16</v>
      </c>
    </row>
    <row r="170" customHeight="1" spans="1:7">
      <c r="A170" s="3" t="s">
        <v>2529</v>
      </c>
      <c r="B170" s="3">
        <v>2105</v>
      </c>
      <c r="C170" s="3"/>
      <c r="D170" s="10" t="s">
        <v>2483</v>
      </c>
      <c r="E170" s="10" t="s">
        <v>2481</v>
      </c>
      <c r="F170" s="11" t="s">
        <v>26</v>
      </c>
      <c r="G170" s="11">
        <v>3</v>
      </c>
    </row>
    <row r="171" customHeight="1" spans="1:7">
      <c r="A171" s="3" t="s">
        <v>2532</v>
      </c>
      <c r="B171" s="3">
        <v>2105</v>
      </c>
      <c r="C171" s="3"/>
      <c r="D171" s="10" t="s">
        <v>2551</v>
      </c>
      <c r="E171" s="10" t="s">
        <v>2636</v>
      </c>
      <c r="F171" s="11" t="s">
        <v>26</v>
      </c>
      <c r="G171" s="11">
        <v>0</v>
      </c>
    </row>
    <row r="172" customHeight="1" spans="1:7">
      <c r="A172" s="3" t="s">
        <v>2535</v>
      </c>
      <c r="B172" s="3">
        <v>2105</v>
      </c>
      <c r="C172" s="3"/>
      <c r="D172" s="10" t="s">
        <v>2485</v>
      </c>
      <c r="E172" s="10" t="s">
        <v>2486</v>
      </c>
      <c r="F172" s="11" t="s">
        <v>26</v>
      </c>
      <c r="G172" s="11">
        <v>0</v>
      </c>
    </row>
    <row r="173" customHeight="1" spans="1:7">
      <c r="A173" s="3">
        <v>2</v>
      </c>
      <c r="B173" s="3">
        <v>2105</v>
      </c>
      <c r="C173" s="3"/>
      <c r="D173" s="10" t="s">
        <v>2487</v>
      </c>
      <c r="E173" s="10"/>
      <c r="F173" s="11"/>
      <c r="G173" s="11"/>
    </row>
    <row r="174" customHeight="1" spans="1:7">
      <c r="A174" s="3" t="s">
        <v>2472</v>
      </c>
      <c r="B174" s="3">
        <v>2105</v>
      </c>
      <c r="C174" s="3" t="s">
        <v>1847</v>
      </c>
      <c r="D174" s="10" t="s">
        <v>2488</v>
      </c>
      <c r="E174" s="10" t="s">
        <v>2489</v>
      </c>
      <c r="F174" s="11" t="s">
        <v>1462</v>
      </c>
      <c r="G174" s="11">
        <v>2040</v>
      </c>
    </row>
    <row r="175" customHeight="1" spans="1:7">
      <c r="A175" s="3" t="s">
        <v>2475</v>
      </c>
      <c r="B175" s="3">
        <v>2105</v>
      </c>
      <c r="C175" s="3" t="s">
        <v>1847</v>
      </c>
      <c r="D175" s="10" t="s">
        <v>2488</v>
      </c>
      <c r="E175" s="10" t="s">
        <v>2554</v>
      </c>
      <c r="F175" s="11" t="s">
        <v>1462</v>
      </c>
      <c r="G175" s="11">
        <v>600</v>
      </c>
    </row>
    <row r="176" customHeight="1" spans="1:7">
      <c r="A176" s="3" t="s">
        <v>2476</v>
      </c>
      <c r="B176" s="3">
        <v>2105</v>
      </c>
      <c r="C176" s="3" t="s">
        <v>1847</v>
      </c>
      <c r="D176" s="10" t="s">
        <v>2488</v>
      </c>
      <c r="E176" s="10" t="s">
        <v>2637</v>
      </c>
      <c r="F176" s="11" t="s">
        <v>1462</v>
      </c>
      <c r="G176" s="11">
        <v>120</v>
      </c>
    </row>
    <row r="177" customHeight="1" spans="1:7">
      <c r="A177" s="3" t="s">
        <v>2479</v>
      </c>
      <c r="B177" s="3">
        <v>2105</v>
      </c>
      <c r="C177" s="3" t="s">
        <v>1843</v>
      </c>
      <c r="D177" s="10" t="s">
        <v>2490</v>
      </c>
      <c r="E177" s="10" t="s">
        <v>2491</v>
      </c>
      <c r="F177" s="11" t="s">
        <v>1462</v>
      </c>
      <c r="G177" s="11">
        <v>1080</v>
      </c>
    </row>
    <row r="178" customHeight="1" spans="1:7">
      <c r="A178" s="3" t="s">
        <v>2482</v>
      </c>
      <c r="B178" s="3">
        <v>2105</v>
      </c>
      <c r="C178" s="3" t="s">
        <v>831</v>
      </c>
      <c r="D178" s="10" t="s">
        <v>831</v>
      </c>
      <c r="E178" s="10" t="s">
        <v>2327</v>
      </c>
      <c r="F178" s="11" t="s">
        <v>1462</v>
      </c>
      <c r="G178" s="11">
        <v>170</v>
      </c>
    </row>
    <row r="179" customHeight="1" spans="1:7">
      <c r="A179" s="3" t="s">
        <v>2484</v>
      </c>
      <c r="B179" s="3">
        <v>2105</v>
      </c>
      <c r="C179" s="3" t="s">
        <v>1754</v>
      </c>
      <c r="D179" s="10" t="s">
        <v>2492</v>
      </c>
      <c r="E179" s="10" t="s">
        <v>2327</v>
      </c>
      <c r="F179" s="11" t="s">
        <v>23</v>
      </c>
      <c r="G179" s="11">
        <v>17</v>
      </c>
    </row>
    <row r="180" customHeight="1" spans="1:7">
      <c r="A180" s="3" t="s">
        <v>2496</v>
      </c>
      <c r="B180" s="3">
        <v>2105</v>
      </c>
      <c r="C180" s="3" t="s">
        <v>831</v>
      </c>
      <c r="D180" s="10" t="s">
        <v>831</v>
      </c>
      <c r="E180" s="10" t="s">
        <v>2325</v>
      </c>
      <c r="F180" s="11" t="s">
        <v>1462</v>
      </c>
      <c r="G180" s="11">
        <v>30</v>
      </c>
    </row>
    <row r="181" customHeight="1" spans="1:7">
      <c r="A181" s="3" t="s">
        <v>2511</v>
      </c>
      <c r="B181" s="3">
        <v>2105</v>
      </c>
      <c r="C181" s="3" t="s">
        <v>865</v>
      </c>
      <c r="D181" s="10" t="s">
        <v>2493</v>
      </c>
      <c r="E181" s="10" t="s">
        <v>2494</v>
      </c>
      <c r="F181" s="11" t="s">
        <v>1462</v>
      </c>
      <c r="G181" s="11">
        <v>25</v>
      </c>
    </row>
    <row r="182" customHeight="1" spans="1:7">
      <c r="A182" s="3" t="s">
        <v>2514</v>
      </c>
      <c r="B182" s="3">
        <v>2105</v>
      </c>
      <c r="C182" s="3" t="s">
        <v>865</v>
      </c>
      <c r="D182" s="10" t="s">
        <v>2619</v>
      </c>
      <c r="E182" s="10" t="s">
        <v>2620</v>
      </c>
      <c r="F182" s="11" t="s">
        <v>1462</v>
      </c>
      <c r="G182" s="11">
        <v>10</v>
      </c>
    </row>
    <row r="183" customHeight="1" spans="1:7">
      <c r="A183" s="3" t="s">
        <v>2516</v>
      </c>
      <c r="B183" s="3">
        <v>2105</v>
      </c>
      <c r="C183" s="3" t="s">
        <v>824</v>
      </c>
      <c r="D183" s="10" t="s">
        <v>824</v>
      </c>
      <c r="E183" s="10" t="s">
        <v>2555</v>
      </c>
      <c r="F183" s="11" t="s">
        <v>1462</v>
      </c>
      <c r="G183" s="11">
        <v>53</v>
      </c>
    </row>
    <row r="184" customHeight="1" spans="1:7">
      <c r="A184" s="3" t="s">
        <v>2518</v>
      </c>
      <c r="B184" s="3">
        <v>2105</v>
      </c>
      <c r="C184" s="3" t="s">
        <v>865</v>
      </c>
      <c r="D184" s="10" t="s">
        <v>2556</v>
      </c>
      <c r="E184" s="10" t="s">
        <v>2557</v>
      </c>
      <c r="F184" s="11" t="s">
        <v>2558</v>
      </c>
      <c r="G184" s="11">
        <v>20</v>
      </c>
    </row>
    <row r="185" customHeight="1" spans="1:7">
      <c r="A185" s="3" t="s">
        <v>2520</v>
      </c>
      <c r="B185" s="3">
        <v>2105</v>
      </c>
      <c r="C185" s="3" t="s">
        <v>681</v>
      </c>
      <c r="D185" s="10" t="s">
        <v>681</v>
      </c>
      <c r="E185" s="10" t="s">
        <v>2495</v>
      </c>
      <c r="F185" s="11" t="s">
        <v>1462</v>
      </c>
      <c r="G185" s="11">
        <v>20</v>
      </c>
    </row>
    <row r="186" customHeight="1" spans="1:7">
      <c r="A186" s="3" t="s">
        <v>2523</v>
      </c>
      <c r="B186" s="3">
        <v>2105</v>
      </c>
      <c r="C186" s="3"/>
      <c r="D186" s="10" t="s">
        <v>2497</v>
      </c>
      <c r="E186" s="10" t="s">
        <v>2498</v>
      </c>
      <c r="F186" s="11" t="s">
        <v>1462</v>
      </c>
      <c r="G186" s="11">
        <v>4</v>
      </c>
    </row>
    <row r="187" customHeight="1" spans="1:7">
      <c r="A187" s="3" t="s">
        <v>2525</v>
      </c>
      <c r="B187" s="3">
        <v>2105</v>
      </c>
      <c r="C187" s="3"/>
      <c r="D187" s="10" t="s">
        <v>2621</v>
      </c>
      <c r="E187" s="10" t="s">
        <v>2622</v>
      </c>
      <c r="F187" s="11" t="s">
        <v>1462</v>
      </c>
      <c r="G187" s="11">
        <v>5</v>
      </c>
    </row>
    <row r="188" customHeight="1" spans="1:7">
      <c r="A188" s="3" t="s">
        <v>1376</v>
      </c>
      <c r="B188" s="3"/>
      <c r="C188" s="3"/>
      <c r="D188" s="10" t="s">
        <v>2638</v>
      </c>
      <c r="E188" s="10"/>
      <c r="F188" s="11"/>
      <c r="G188" s="11"/>
    </row>
    <row r="189" customHeight="1" spans="1:7">
      <c r="A189" s="3">
        <v>1</v>
      </c>
      <c r="B189" s="3"/>
      <c r="C189" s="3"/>
      <c r="D189" s="10" t="s">
        <v>2471</v>
      </c>
      <c r="E189" s="10"/>
      <c r="F189" s="11"/>
      <c r="G189" s="11"/>
    </row>
    <row r="190" customHeight="1" spans="1:7">
      <c r="A190" s="3">
        <v>1.1</v>
      </c>
      <c r="B190" s="3"/>
      <c r="C190" s="3"/>
      <c r="D190" s="10" t="s">
        <v>2639</v>
      </c>
      <c r="E190" s="10"/>
      <c r="F190" s="11"/>
      <c r="G190" s="11"/>
    </row>
    <row r="191" customHeight="1" spans="1:7">
      <c r="A191" s="3" t="s">
        <v>2472</v>
      </c>
      <c r="B191" s="3">
        <v>2105</v>
      </c>
      <c r="C191" s="3"/>
      <c r="D191" s="10" t="s">
        <v>2558</v>
      </c>
      <c r="E191" s="10" t="s">
        <v>2640</v>
      </c>
      <c r="F191" s="11" t="s">
        <v>12</v>
      </c>
      <c r="G191" s="11">
        <v>2</v>
      </c>
    </row>
    <row r="192" customHeight="1" spans="1:7">
      <c r="A192" s="3" t="s">
        <v>2475</v>
      </c>
      <c r="B192" s="3">
        <v>2105</v>
      </c>
      <c r="C192" s="3"/>
      <c r="D192" s="10" t="s">
        <v>2558</v>
      </c>
      <c r="E192" s="10" t="s">
        <v>2640</v>
      </c>
      <c r="F192" s="11" t="s">
        <v>12</v>
      </c>
      <c r="G192" s="11">
        <v>2</v>
      </c>
    </row>
    <row r="193" customHeight="1" spans="1:7">
      <c r="A193" s="3" t="s">
        <v>2476</v>
      </c>
      <c r="B193" s="3">
        <v>2105</v>
      </c>
      <c r="C193" s="3"/>
      <c r="D193" s="10" t="s">
        <v>2558</v>
      </c>
      <c r="E193" s="10" t="s">
        <v>2640</v>
      </c>
      <c r="F193" s="11" t="s">
        <v>2351</v>
      </c>
      <c r="G193" s="11">
        <v>12</v>
      </c>
    </row>
    <row r="194" customHeight="1" spans="1:7">
      <c r="A194" s="3" t="s">
        <v>2479</v>
      </c>
      <c r="B194" s="3">
        <v>2105</v>
      </c>
      <c r="C194" s="3"/>
      <c r="D194" s="10" t="s">
        <v>2558</v>
      </c>
      <c r="E194" s="10" t="s">
        <v>2640</v>
      </c>
      <c r="F194" s="11" t="s">
        <v>12</v>
      </c>
      <c r="G194" s="11">
        <v>2</v>
      </c>
    </row>
    <row r="195" customHeight="1" spans="1:7">
      <c r="A195" s="3" t="s">
        <v>2482</v>
      </c>
      <c r="B195" s="3">
        <v>2105</v>
      </c>
      <c r="C195" s="3"/>
      <c r="D195" s="10" t="s">
        <v>2346</v>
      </c>
      <c r="E195" s="10" t="s">
        <v>2506</v>
      </c>
      <c r="F195" s="11" t="s">
        <v>12</v>
      </c>
      <c r="G195" s="11">
        <v>4</v>
      </c>
    </row>
    <row r="196" customHeight="1" spans="1:7">
      <c r="A196" s="3" t="s">
        <v>2484</v>
      </c>
      <c r="B196" s="3">
        <v>2105</v>
      </c>
      <c r="C196" s="3"/>
      <c r="D196" s="10" t="s">
        <v>2504</v>
      </c>
      <c r="E196" s="10" t="s">
        <v>2505</v>
      </c>
      <c r="F196" s="11" t="s">
        <v>2348</v>
      </c>
      <c r="G196" s="11">
        <v>2</v>
      </c>
    </row>
    <row r="197" customHeight="1" spans="1:7">
      <c r="A197" s="3" t="s">
        <v>2496</v>
      </c>
      <c r="B197" s="3">
        <v>2105</v>
      </c>
      <c r="C197" s="3"/>
      <c r="D197" s="10" t="s">
        <v>2641</v>
      </c>
      <c r="E197" s="10" t="s">
        <v>2642</v>
      </c>
      <c r="F197" s="11" t="s">
        <v>12</v>
      </c>
      <c r="G197" s="11">
        <v>1</v>
      </c>
    </row>
    <row r="198" customHeight="1" spans="1:7">
      <c r="A198" s="3" t="s">
        <v>2511</v>
      </c>
      <c r="B198" s="3">
        <v>2105</v>
      </c>
      <c r="C198" s="3"/>
      <c r="D198" s="10" t="s">
        <v>2641</v>
      </c>
      <c r="E198" s="10" t="s">
        <v>2643</v>
      </c>
      <c r="F198" s="11" t="s">
        <v>12</v>
      </c>
      <c r="G198" s="11">
        <v>1</v>
      </c>
    </row>
    <row r="199" customHeight="1" spans="1:7">
      <c r="A199" s="3" t="s">
        <v>2514</v>
      </c>
      <c r="B199" s="3">
        <v>2105</v>
      </c>
      <c r="C199" s="3"/>
      <c r="D199" s="10" t="s">
        <v>2644</v>
      </c>
      <c r="E199" s="10" t="s">
        <v>2645</v>
      </c>
      <c r="F199" s="11" t="s">
        <v>12</v>
      </c>
      <c r="G199" s="11">
        <v>2</v>
      </c>
    </row>
    <row r="200" customHeight="1" spans="1:7">
      <c r="A200" s="3" t="s">
        <v>2516</v>
      </c>
      <c r="B200" s="3">
        <v>2105</v>
      </c>
      <c r="C200" s="3"/>
      <c r="D200" s="10" t="s">
        <v>2352</v>
      </c>
      <c r="E200" s="10" t="s">
        <v>2646</v>
      </c>
      <c r="F200" s="11" t="s">
        <v>26</v>
      </c>
      <c r="G200" s="11">
        <v>1</v>
      </c>
    </row>
    <row r="201" customHeight="1" spans="1:7">
      <c r="A201" s="3" t="s">
        <v>2518</v>
      </c>
      <c r="B201" s="3">
        <v>2105</v>
      </c>
      <c r="C201" s="3"/>
      <c r="D201" s="10" t="s">
        <v>2508</v>
      </c>
      <c r="E201" s="10" t="s">
        <v>2647</v>
      </c>
      <c r="F201" s="11" t="s">
        <v>12</v>
      </c>
      <c r="G201" s="11">
        <v>1</v>
      </c>
    </row>
    <row r="202" customHeight="1" spans="1:7">
      <c r="A202" s="3" t="s">
        <v>2520</v>
      </c>
      <c r="B202" s="3">
        <v>2105</v>
      </c>
      <c r="C202" s="3"/>
      <c r="D202" s="10" t="s">
        <v>2508</v>
      </c>
      <c r="E202" s="10" t="s">
        <v>2648</v>
      </c>
      <c r="F202" s="11" t="s">
        <v>12</v>
      </c>
      <c r="G202" s="11">
        <v>1</v>
      </c>
    </row>
    <row r="203" customHeight="1" spans="1:7">
      <c r="A203" s="3">
        <v>1.2</v>
      </c>
      <c r="B203" s="3">
        <v>2105</v>
      </c>
      <c r="C203" s="3"/>
      <c r="D203" s="10" t="s">
        <v>2649</v>
      </c>
      <c r="E203" s="10"/>
      <c r="F203" s="11"/>
      <c r="G203" s="11"/>
    </row>
    <row r="204" customHeight="1" spans="1:7">
      <c r="A204" s="3" t="s">
        <v>2472</v>
      </c>
      <c r="B204" s="3">
        <v>2105</v>
      </c>
      <c r="C204" s="3"/>
      <c r="D204" s="10" t="s">
        <v>2346</v>
      </c>
      <c r="E204" s="10" t="s">
        <v>2506</v>
      </c>
      <c r="F204" s="11" t="s">
        <v>12</v>
      </c>
      <c r="G204" s="11">
        <v>4</v>
      </c>
    </row>
    <row r="205" customHeight="1" spans="1:7">
      <c r="A205" s="3" t="s">
        <v>2475</v>
      </c>
      <c r="B205" s="3">
        <v>2105</v>
      </c>
      <c r="C205" s="3"/>
      <c r="D205" s="10" t="s">
        <v>2650</v>
      </c>
      <c r="E205" s="10" t="s">
        <v>2651</v>
      </c>
      <c r="F205" s="11" t="s">
        <v>12</v>
      </c>
      <c r="G205" s="11">
        <v>1</v>
      </c>
    </row>
    <row r="206" customHeight="1" spans="1:7">
      <c r="A206" s="3" t="s">
        <v>2476</v>
      </c>
      <c r="B206" s="3">
        <v>2105</v>
      </c>
      <c r="C206" s="3"/>
      <c r="D206" s="10" t="s">
        <v>2650</v>
      </c>
      <c r="E206" s="10" t="s">
        <v>2652</v>
      </c>
      <c r="F206" s="11" t="s">
        <v>12</v>
      </c>
      <c r="G206" s="11">
        <v>1</v>
      </c>
    </row>
    <row r="207" customHeight="1" spans="1:7">
      <c r="A207" s="3" t="s">
        <v>2479</v>
      </c>
      <c r="B207" s="3">
        <v>2105</v>
      </c>
      <c r="C207" s="3"/>
      <c r="D207" s="10" t="s">
        <v>2644</v>
      </c>
      <c r="E207" s="10" t="s">
        <v>2645</v>
      </c>
      <c r="F207" s="11" t="s">
        <v>12</v>
      </c>
      <c r="G207" s="11">
        <v>2</v>
      </c>
    </row>
    <row r="208" customHeight="1" spans="1:7">
      <c r="A208" s="3" t="s">
        <v>2482</v>
      </c>
      <c r="B208" s="3">
        <v>2105</v>
      </c>
      <c r="C208" s="3"/>
      <c r="D208" s="10" t="s">
        <v>2565</v>
      </c>
      <c r="E208" s="10" t="s">
        <v>2566</v>
      </c>
      <c r="F208" s="11" t="s">
        <v>2351</v>
      </c>
      <c r="G208" s="11">
        <v>2</v>
      </c>
    </row>
    <row r="209" customHeight="1" spans="1:7">
      <c r="A209" s="3" t="s">
        <v>2484</v>
      </c>
      <c r="B209" s="3">
        <v>2105</v>
      </c>
      <c r="C209" s="3"/>
      <c r="D209" s="10" t="s">
        <v>2508</v>
      </c>
      <c r="E209" s="10" t="s">
        <v>2653</v>
      </c>
      <c r="F209" s="11" t="s">
        <v>12</v>
      </c>
      <c r="G209" s="11">
        <v>1</v>
      </c>
    </row>
    <row r="210" customHeight="1" spans="1:7">
      <c r="A210" s="3" t="s">
        <v>2496</v>
      </c>
      <c r="B210" s="3">
        <v>2105</v>
      </c>
      <c r="C210" s="3"/>
      <c r="D210" s="10" t="s">
        <v>2508</v>
      </c>
      <c r="E210" s="10" t="s">
        <v>2654</v>
      </c>
      <c r="F210" s="11" t="s">
        <v>12</v>
      </c>
      <c r="G210" s="11">
        <v>1</v>
      </c>
    </row>
    <row r="211" customHeight="1" spans="1:7">
      <c r="A211" s="3" t="s">
        <v>2511</v>
      </c>
      <c r="B211" s="3">
        <v>2105</v>
      </c>
      <c r="C211" s="3"/>
      <c r="D211" s="10" t="s">
        <v>2558</v>
      </c>
      <c r="E211" s="10" t="s">
        <v>2640</v>
      </c>
      <c r="F211" s="11" t="s">
        <v>12</v>
      </c>
      <c r="G211" s="11">
        <v>1</v>
      </c>
    </row>
    <row r="212" customHeight="1" spans="1:7">
      <c r="A212" s="3">
        <v>1.3</v>
      </c>
      <c r="B212" s="3">
        <v>2105</v>
      </c>
      <c r="C212" s="3"/>
      <c r="D212" s="10" t="s">
        <v>1664</v>
      </c>
      <c r="E212" s="10"/>
      <c r="F212" s="11"/>
      <c r="G212" s="11"/>
    </row>
    <row r="213" customHeight="1" spans="1:7">
      <c r="A213" s="3" t="s">
        <v>2472</v>
      </c>
      <c r="B213" s="3">
        <v>2105</v>
      </c>
      <c r="C213" s="3"/>
      <c r="D213" s="10" t="s">
        <v>2504</v>
      </c>
      <c r="E213" s="10" t="s">
        <v>2505</v>
      </c>
      <c r="F213" s="11" t="s">
        <v>2348</v>
      </c>
      <c r="G213" s="11">
        <v>4</v>
      </c>
    </row>
    <row r="214" customHeight="1" spans="1:7">
      <c r="A214" s="3" t="s">
        <v>2475</v>
      </c>
      <c r="B214" s="3">
        <v>2105</v>
      </c>
      <c r="C214" s="3"/>
      <c r="D214" s="10" t="s">
        <v>2346</v>
      </c>
      <c r="E214" s="10" t="s">
        <v>2506</v>
      </c>
      <c r="F214" s="11" t="s">
        <v>12</v>
      </c>
      <c r="G214" s="11">
        <v>2</v>
      </c>
    </row>
    <row r="215" customHeight="1" spans="1:7">
      <c r="A215" s="3" t="s">
        <v>2476</v>
      </c>
      <c r="B215" s="3">
        <v>2105</v>
      </c>
      <c r="C215" s="3"/>
      <c r="D215" s="10" t="s">
        <v>2641</v>
      </c>
      <c r="E215" s="10" t="s">
        <v>2655</v>
      </c>
      <c r="F215" s="11" t="s">
        <v>12</v>
      </c>
      <c r="G215" s="11">
        <v>3</v>
      </c>
    </row>
    <row r="216" customHeight="1" spans="1:7">
      <c r="A216" s="3" t="s">
        <v>2479</v>
      </c>
      <c r="B216" s="3">
        <v>2105</v>
      </c>
      <c r="C216" s="3"/>
      <c r="D216" s="10" t="s">
        <v>2641</v>
      </c>
      <c r="E216" s="10" t="s">
        <v>2656</v>
      </c>
      <c r="F216" s="11" t="s">
        <v>12</v>
      </c>
      <c r="G216" s="11">
        <v>1</v>
      </c>
    </row>
    <row r="217" customHeight="1" spans="1:7">
      <c r="A217" s="3" t="s">
        <v>2482</v>
      </c>
      <c r="B217" s="3">
        <v>2105</v>
      </c>
      <c r="C217" s="3"/>
      <c r="D217" s="10" t="s">
        <v>2644</v>
      </c>
      <c r="E217" s="10" t="s">
        <v>2645</v>
      </c>
      <c r="F217" s="11" t="s">
        <v>12</v>
      </c>
      <c r="G217" s="11">
        <v>4</v>
      </c>
    </row>
    <row r="218" customHeight="1" spans="1:7">
      <c r="A218" s="3" t="s">
        <v>2484</v>
      </c>
      <c r="B218" s="3">
        <v>2105</v>
      </c>
      <c r="C218" s="3"/>
      <c r="D218" s="10" t="s">
        <v>2558</v>
      </c>
      <c r="E218" s="10" t="s">
        <v>2640</v>
      </c>
      <c r="F218" s="11" t="s">
        <v>2351</v>
      </c>
      <c r="G218" s="11">
        <v>20</v>
      </c>
    </row>
    <row r="219" customHeight="1" spans="1:7">
      <c r="A219" s="3" t="s">
        <v>2496</v>
      </c>
      <c r="B219" s="3">
        <v>2105</v>
      </c>
      <c r="C219" s="3"/>
      <c r="D219" s="10" t="s">
        <v>2558</v>
      </c>
      <c r="E219" s="10" t="s">
        <v>2640</v>
      </c>
      <c r="F219" s="11" t="s">
        <v>12</v>
      </c>
      <c r="G219" s="11">
        <v>4</v>
      </c>
    </row>
    <row r="220" customHeight="1" spans="1:7">
      <c r="A220" s="3">
        <v>1.4</v>
      </c>
      <c r="B220" s="3">
        <v>2105</v>
      </c>
      <c r="C220" s="3"/>
      <c r="D220" s="10" t="s">
        <v>1647</v>
      </c>
      <c r="E220" s="10"/>
      <c r="F220" s="11"/>
      <c r="G220" s="11"/>
    </row>
    <row r="221" customHeight="1" spans="1:7">
      <c r="A221" s="3" t="s">
        <v>2472</v>
      </c>
      <c r="B221" s="3">
        <v>2105</v>
      </c>
      <c r="C221" s="3"/>
      <c r="D221" s="10" t="s">
        <v>2504</v>
      </c>
      <c r="E221" s="10" t="s">
        <v>2505</v>
      </c>
      <c r="F221" s="11" t="s">
        <v>2348</v>
      </c>
      <c r="G221" s="11">
        <v>2</v>
      </c>
    </row>
    <row r="222" customHeight="1" spans="1:7">
      <c r="A222" s="3" t="s">
        <v>2475</v>
      </c>
      <c r="B222" s="3">
        <v>2105</v>
      </c>
      <c r="C222" s="3"/>
      <c r="D222" s="10" t="s">
        <v>2346</v>
      </c>
      <c r="E222" s="10" t="s">
        <v>2506</v>
      </c>
      <c r="F222" s="11" t="s">
        <v>12</v>
      </c>
      <c r="G222" s="11">
        <v>1</v>
      </c>
    </row>
    <row r="223" customHeight="1" spans="1:7">
      <c r="A223" s="3" t="s">
        <v>2476</v>
      </c>
      <c r="B223" s="3">
        <v>2105</v>
      </c>
      <c r="C223" s="3"/>
      <c r="D223" s="10" t="s">
        <v>2641</v>
      </c>
      <c r="E223" s="10" t="s">
        <v>2657</v>
      </c>
      <c r="F223" s="11" t="s">
        <v>12</v>
      </c>
      <c r="G223" s="11">
        <v>1</v>
      </c>
    </row>
    <row r="224" customHeight="1" spans="1:7">
      <c r="A224" s="3" t="s">
        <v>2479</v>
      </c>
      <c r="B224" s="3">
        <v>2105</v>
      </c>
      <c r="C224" s="3"/>
      <c r="D224" s="10" t="s">
        <v>2641</v>
      </c>
      <c r="E224" s="10" t="s">
        <v>2658</v>
      </c>
      <c r="F224" s="11" t="s">
        <v>12</v>
      </c>
      <c r="G224" s="11">
        <v>2</v>
      </c>
    </row>
    <row r="225" customHeight="1" spans="1:7">
      <c r="A225" s="3" t="s">
        <v>2482</v>
      </c>
      <c r="B225" s="3">
        <v>2105</v>
      </c>
      <c r="C225" s="3"/>
      <c r="D225" s="10" t="s">
        <v>2641</v>
      </c>
      <c r="E225" s="10" t="s">
        <v>2659</v>
      </c>
      <c r="F225" s="11" t="s">
        <v>12</v>
      </c>
      <c r="G225" s="11">
        <v>1</v>
      </c>
    </row>
    <row r="226" customHeight="1" spans="1:7">
      <c r="A226" s="3" t="s">
        <v>2484</v>
      </c>
      <c r="B226" s="3">
        <v>2105</v>
      </c>
      <c r="C226" s="3"/>
      <c r="D226" s="10" t="s">
        <v>2644</v>
      </c>
      <c r="E226" s="10" t="s">
        <v>2645</v>
      </c>
      <c r="F226" s="11" t="s">
        <v>12</v>
      </c>
      <c r="G226" s="11">
        <v>4</v>
      </c>
    </row>
    <row r="227" customHeight="1" spans="1:7">
      <c r="A227" s="3" t="s">
        <v>2496</v>
      </c>
      <c r="B227" s="3">
        <v>2105</v>
      </c>
      <c r="C227" s="3"/>
      <c r="D227" s="10" t="s">
        <v>2558</v>
      </c>
      <c r="E227" s="10" t="s">
        <v>2640</v>
      </c>
      <c r="F227" s="11" t="s">
        <v>2351</v>
      </c>
      <c r="G227" s="11">
        <v>10</v>
      </c>
    </row>
    <row r="228" customHeight="1" spans="1:7">
      <c r="A228" s="3" t="s">
        <v>2511</v>
      </c>
      <c r="B228" s="3">
        <v>2105</v>
      </c>
      <c r="C228" s="3"/>
      <c r="D228" s="10" t="s">
        <v>2558</v>
      </c>
      <c r="E228" s="10" t="s">
        <v>2640</v>
      </c>
      <c r="F228" s="11" t="s">
        <v>12</v>
      </c>
      <c r="G228" s="11">
        <v>2</v>
      </c>
    </row>
    <row r="229" customHeight="1" spans="1:7">
      <c r="A229" s="3">
        <v>1.5</v>
      </c>
      <c r="B229" s="3">
        <v>2105</v>
      </c>
      <c r="C229" s="3"/>
      <c r="D229" s="10" t="s">
        <v>2660</v>
      </c>
      <c r="E229" s="10"/>
      <c r="F229" s="11"/>
      <c r="G229" s="11"/>
    </row>
    <row r="230" customHeight="1" spans="1:7">
      <c r="A230" s="3" t="s">
        <v>2472</v>
      </c>
      <c r="B230" s="3">
        <v>2105</v>
      </c>
      <c r="C230" s="3"/>
      <c r="D230" s="10" t="s">
        <v>2558</v>
      </c>
      <c r="E230" s="10" t="s">
        <v>2640</v>
      </c>
      <c r="F230" s="11" t="s">
        <v>2351</v>
      </c>
      <c r="G230" s="11">
        <v>1</v>
      </c>
    </row>
    <row r="231" customHeight="1" spans="1:7">
      <c r="A231" s="3">
        <v>1.6</v>
      </c>
      <c r="B231" s="3">
        <v>2105</v>
      </c>
      <c r="C231" s="3"/>
      <c r="D231" s="10" t="s">
        <v>1602</v>
      </c>
      <c r="E231" s="10"/>
      <c r="F231" s="11"/>
      <c r="G231" s="11"/>
    </row>
    <row r="232" customHeight="1" spans="1:7">
      <c r="A232" s="3" t="s">
        <v>2472</v>
      </c>
      <c r="B232" s="3">
        <v>2105</v>
      </c>
      <c r="C232" s="3"/>
      <c r="D232" s="10" t="s">
        <v>2558</v>
      </c>
      <c r="E232" s="10" t="s">
        <v>2640</v>
      </c>
      <c r="F232" s="11" t="s">
        <v>12</v>
      </c>
      <c r="G232" s="11">
        <v>1</v>
      </c>
    </row>
    <row r="233" customHeight="1" spans="1:7">
      <c r="A233" s="3" t="s">
        <v>2475</v>
      </c>
      <c r="B233" s="3">
        <v>2105</v>
      </c>
      <c r="C233" s="3"/>
      <c r="D233" s="10" t="s">
        <v>2504</v>
      </c>
      <c r="E233" s="10" t="s">
        <v>2505</v>
      </c>
      <c r="F233" s="11" t="s">
        <v>2348</v>
      </c>
      <c r="G233" s="11">
        <v>3</v>
      </c>
    </row>
    <row r="234" customHeight="1" spans="1:7">
      <c r="A234" s="3" t="s">
        <v>2476</v>
      </c>
      <c r="B234" s="3">
        <v>2105</v>
      </c>
      <c r="C234" s="3"/>
      <c r="D234" s="10" t="s">
        <v>2641</v>
      </c>
      <c r="E234" s="10" t="s">
        <v>2661</v>
      </c>
      <c r="F234" s="11" t="s">
        <v>12</v>
      </c>
      <c r="G234" s="11">
        <v>1</v>
      </c>
    </row>
    <row r="235" customHeight="1" spans="1:7">
      <c r="A235" s="3" t="s">
        <v>2479</v>
      </c>
      <c r="B235" s="3">
        <v>2105</v>
      </c>
      <c r="C235" s="3"/>
      <c r="D235" s="10" t="s">
        <v>2644</v>
      </c>
      <c r="E235" s="10" t="s">
        <v>2645</v>
      </c>
      <c r="F235" s="11" t="s">
        <v>12</v>
      </c>
      <c r="G235" s="11">
        <v>1</v>
      </c>
    </row>
    <row r="236" customHeight="1" spans="1:7">
      <c r="A236" s="3" t="s">
        <v>2482</v>
      </c>
      <c r="B236" s="3">
        <v>2105</v>
      </c>
      <c r="C236" s="3"/>
      <c r="D236" s="10" t="s">
        <v>2346</v>
      </c>
      <c r="E236" s="10" t="s">
        <v>2506</v>
      </c>
      <c r="F236" s="11" t="s">
        <v>12</v>
      </c>
      <c r="G236" s="11">
        <v>1</v>
      </c>
    </row>
    <row r="237" customHeight="1" spans="1:7">
      <c r="A237" s="3" t="s">
        <v>2484</v>
      </c>
      <c r="B237" s="3">
        <v>2105</v>
      </c>
      <c r="C237" s="3"/>
      <c r="D237" s="10" t="s">
        <v>2480</v>
      </c>
      <c r="E237" s="10" t="s">
        <v>2481</v>
      </c>
      <c r="F237" s="11" t="s">
        <v>26</v>
      </c>
      <c r="G237" s="11">
        <v>92</v>
      </c>
    </row>
    <row r="238" customHeight="1" spans="1:7">
      <c r="A238" s="3" t="s">
        <v>2496</v>
      </c>
      <c r="B238" s="3">
        <v>2105</v>
      </c>
      <c r="C238" s="3"/>
      <c r="D238" s="10" t="s">
        <v>2483</v>
      </c>
      <c r="E238" s="10" t="s">
        <v>2481</v>
      </c>
      <c r="F238" s="11" t="s">
        <v>26</v>
      </c>
      <c r="G238" s="11">
        <v>14</v>
      </c>
    </row>
    <row r="239" customHeight="1" spans="1:7">
      <c r="A239" s="3" t="s">
        <v>2511</v>
      </c>
      <c r="B239" s="3">
        <v>2105</v>
      </c>
      <c r="C239" s="3"/>
      <c r="D239" s="10" t="s">
        <v>2551</v>
      </c>
      <c r="E239" s="10" t="s">
        <v>2662</v>
      </c>
      <c r="F239" s="11" t="s">
        <v>26</v>
      </c>
      <c r="G239" s="11">
        <v>99</v>
      </c>
    </row>
    <row r="240" customHeight="1" spans="1:7">
      <c r="A240" s="3" t="s">
        <v>2514</v>
      </c>
      <c r="B240" s="3">
        <v>2105</v>
      </c>
      <c r="C240" s="3"/>
      <c r="D240" s="10" t="s">
        <v>2485</v>
      </c>
      <c r="E240" s="10" t="s">
        <v>2486</v>
      </c>
      <c r="F240" s="11" t="s">
        <v>26</v>
      </c>
      <c r="G240" s="11">
        <v>4</v>
      </c>
    </row>
    <row r="241" customHeight="1" spans="1:7">
      <c r="A241" s="3" t="s">
        <v>2516</v>
      </c>
      <c r="B241" s="3">
        <v>2105</v>
      </c>
      <c r="C241" s="3"/>
      <c r="D241" s="10" t="s">
        <v>2615</v>
      </c>
      <c r="E241" s="10" t="s">
        <v>2663</v>
      </c>
      <c r="F241" s="11" t="s">
        <v>12</v>
      </c>
      <c r="G241" s="11">
        <v>2</v>
      </c>
    </row>
    <row r="242" customHeight="1" spans="1:7">
      <c r="A242" s="3" t="s">
        <v>2518</v>
      </c>
      <c r="B242" s="3">
        <v>2105</v>
      </c>
      <c r="C242" s="3"/>
      <c r="D242" s="10" t="s">
        <v>2617</v>
      </c>
      <c r="E242" s="10" t="s">
        <v>2618</v>
      </c>
      <c r="F242" s="11" t="s">
        <v>12</v>
      </c>
      <c r="G242" s="11">
        <v>25</v>
      </c>
    </row>
    <row r="243" customHeight="1" spans="1:7">
      <c r="A243" s="3">
        <v>2</v>
      </c>
      <c r="B243" s="3">
        <v>2105</v>
      </c>
      <c r="C243" s="3"/>
      <c r="D243" s="10" t="s">
        <v>2487</v>
      </c>
      <c r="E243" s="10"/>
      <c r="F243" s="11"/>
      <c r="G243" s="11"/>
    </row>
    <row r="244" customHeight="1" spans="1:7">
      <c r="A244" s="3" t="s">
        <v>2472</v>
      </c>
      <c r="B244" s="3">
        <v>2105</v>
      </c>
      <c r="C244" s="3" t="s">
        <v>1847</v>
      </c>
      <c r="D244" s="10" t="s">
        <v>2488</v>
      </c>
      <c r="E244" s="10" t="s">
        <v>2489</v>
      </c>
      <c r="F244" s="11" t="s">
        <v>1462</v>
      </c>
      <c r="G244" s="11">
        <v>9200</v>
      </c>
    </row>
    <row r="245" customHeight="1" spans="1:7">
      <c r="A245" s="3" t="s">
        <v>2475</v>
      </c>
      <c r="B245" s="3">
        <v>2105</v>
      </c>
      <c r="C245" s="3" t="s">
        <v>1843</v>
      </c>
      <c r="D245" s="10" t="s">
        <v>2490</v>
      </c>
      <c r="E245" s="10" t="s">
        <v>2491</v>
      </c>
      <c r="F245" s="11" t="s">
        <v>1462</v>
      </c>
      <c r="G245" s="11">
        <v>4100</v>
      </c>
    </row>
    <row r="246" customHeight="1" spans="1:7">
      <c r="A246" s="3" t="s">
        <v>2476</v>
      </c>
      <c r="B246" s="3">
        <v>2105</v>
      </c>
      <c r="C246" s="3" t="s">
        <v>831</v>
      </c>
      <c r="D246" s="10" t="s">
        <v>831</v>
      </c>
      <c r="E246" s="10" t="s">
        <v>2327</v>
      </c>
      <c r="F246" s="11" t="s">
        <v>1462</v>
      </c>
      <c r="G246" s="11">
        <v>1330</v>
      </c>
    </row>
    <row r="247" customHeight="1" spans="1:7">
      <c r="A247" s="3" t="s">
        <v>2479</v>
      </c>
      <c r="B247" s="3">
        <v>2105</v>
      </c>
      <c r="C247" s="3" t="s">
        <v>1754</v>
      </c>
      <c r="D247" s="10" t="s">
        <v>2492</v>
      </c>
      <c r="E247" s="10" t="s">
        <v>2327</v>
      </c>
      <c r="F247" s="11" t="s">
        <v>23</v>
      </c>
      <c r="G247" s="11">
        <v>133</v>
      </c>
    </row>
    <row r="248" customHeight="1" spans="1:7">
      <c r="A248" s="3" t="s">
        <v>2482</v>
      </c>
      <c r="B248" s="3">
        <v>2105</v>
      </c>
      <c r="C248" s="3" t="s">
        <v>831</v>
      </c>
      <c r="D248" s="10" t="s">
        <v>831</v>
      </c>
      <c r="E248" s="10" t="s">
        <v>2325</v>
      </c>
      <c r="F248" s="11" t="s">
        <v>1462</v>
      </c>
      <c r="G248" s="11">
        <v>150</v>
      </c>
    </row>
    <row r="249" customHeight="1" spans="1:7">
      <c r="A249" s="3" t="s">
        <v>2484</v>
      </c>
      <c r="B249" s="3">
        <v>2105</v>
      </c>
      <c r="C249" s="3" t="s">
        <v>865</v>
      </c>
      <c r="D249" s="10" t="s">
        <v>2493</v>
      </c>
      <c r="E249" s="10" t="s">
        <v>2494</v>
      </c>
      <c r="F249" s="11" t="s">
        <v>1462</v>
      </c>
      <c r="G249" s="11">
        <v>290</v>
      </c>
    </row>
    <row r="250" customHeight="1" spans="1:7">
      <c r="A250" s="3" t="s">
        <v>2496</v>
      </c>
      <c r="B250" s="3">
        <v>2105</v>
      </c>
      <c r="C250" s="3" t="s">
        <v>824</v>
      </c>
      <c r="D250" s="10" t="s">
        <v>824</v>
      </c>
      <c r="E250" s="10" t="s">
        <v>2555</v>
      </c>
      <c r="F250" s="11" t="s">
        <v>1462</v>
      </c>
      <c r="G250" s="11">
        <v>391</v>
      </c>
    </row>
    <row r="251" customHeight="1" spans="1:7">
      <c r="A251" s="3" t="s">
        <v>2511</v>
      </c>
      <c r="B251" s="3">
        <v>2105</v>
      </c>
      <c r="C251" s="3" t="s">
        <v>865</v>
      </c>
      <c r="D251" s="10" t="s">
        <v>2556</v>
      </c>
      <c r="E251" s="10" t="s">
        <v>2557</v>
      </c>
      <c r="F251" s="11" t="s">
        <v>2558</v>
      </c>
      <c r="G251" s="11">
        <v>55</v>
      </c>
    </row>
    <row r="252" customHeight="1" spans="1:7">
      <c r="A252" s="3" t="s">
        <v>2514</v>
      </c>
      <c r="B252" s="3">
        <v>2105</v>
      </c>
      <c r="C252" s="3" t="s">
        <v>681</v>
      </c>
      <c r="D252" s="10" t="s">
        <v>681</v>
      </c>
      <c r="E252" s="10" t="s">
        <v>2495</v>
      </c>
      <c r="F252" s="11" t="s">
        <v>1462</v>
      </c>
      <c r="G252" s="11">
        <v>20</v>
      </c>
    </row>
    <row r="253" customHeight="1" spans="1:7">
      <c r="A253" s="3" t="s">
        <v>2516</v>
      </c>
      <c r="B253" s="3">
        <v>2105</v>
      </c>
      <c r="C253" s="3"/>
      <c r="D253" s="10" t="s">
        <v>2497</v>
      </c>
      <c r="E253" s="10" t="s">
        <v>2498</v>
      </c>
      <c r="F253" s="11" t="s">
        <v>1462</v>
      </c>
      <c r="G253" s="11">
        <v>4</v>
      </c>
    </row>
    <row r="254" customHeight="1" spans="1:7">
      <c r="A254" s="3" t="s">
        <v>2518</v>
      </c>
      <c r="B254" s="3">
        <v>2105</v>
      </c>
      <c r="C254" s="3"/>
      <c r="D254" s="10" t="s">
        <v>2621</v>
      </c>
      <c r="E254" s="10" t="s">
        <v>2622</v>
      </c>
      <c r="F254" s="11" t="s">
        <v>1462</v>
      </c>
      <c r="G254" s="11">
        <v>190</v>
      </c>
    </row>
    <row r="255" customHeight="1" spans="1:7">
      <c r="A255" s="3"/>
      <c r="B255" s="3"/>
      <c r="C255" s="3"/>
      <c r="D255" s="10"/>
      <c r="E255" s="10"/>
      <c r="F255" s="11"/>
      <c r="G255" s="31"/>
    </row>
    <row r="256" customHeight="1" spans="1:7">
      <c r="A256" s="3"/>
      <c r="B256" s="3"/>
      <c r="C256" s="3"/>
      <c r="D256" s="10"/>
      <c r="E256" s="10"/>
      <c r="F256" s="11"/>
      <c r="G256" s="31"/>
    </row>
    <row r="257" s="1" customFormat="1" customHeight="1" spans="1:7">
      <c r="A257" s="12"/>
      <c r="B257" s="12"/>
      <c r="C257" s="12"/>
      <c r="D257" s="13" t="s">
        <v>34</v>
      </c>
      <c r="E257" s="13"/>
      <c r="F257" s="14"/>
      <c r="G257" s="32"/>
    </row>
    <row r="258" customHeight="1" spans="1:7">
      <c r="A258" s="3" t="s">
        <v>1361</v>
      </c>
      <c r="B258" s="3"/>
      <c r="C258" s="3"/>
      <c r="D258" s="10" t="s">
        <v>444</v>
      </c>
      <c r="E258" s="10"/>
      <c r="F258" s="11"/>
      <c r="G258" s="11"/>
    </row>
    <row r="259" customHeight="1" spans="1:7">
      <c r="A259" s="3">
        <v>1</v>
      </c>
      <c r="B259" s="3"/>
      <c r="C259" s="3"/>
      <c r="D259" s="10" t="s">
        <v>2471</v>
      </c>
      <c r="E259" s="10"/>
      <c r="F259" s="11"/>
      <c r="G259" s="11"/>
    </row>
    <row r="260" customHeight="1" spans="1:7">
      <c r="A260" s="3" t="s">
        <v>2472</v>
      </c>
      <c r="B260" s="3">
        <v>2105</v>
      </c>
      <c r="C260" s="3"/>
      <c r="D260" s="10" t="s">
        <v>2664</v>
      </c>
      <c r="E260" s="10" t="s">
        <v>2558</v>
      </c>
      <c r="F260" s="11" t="s">
        <v>23</v>
      </c>
      <c r="G260" s="11">
        <v>1</v>
      </c>
    </row>
    <row r="261" customHeight="1" spans="1:7">
      <c r="A261" s="3" t="s">
        <v>2475</v>
      </c>
      <c r="B261" s="3">
        <v>2105</v>
      </c>
      <c r="C261" s="3"/>
      <c r="D261" s="10" t="s">
        <v>2665</v>
      </c>
      <c r="E261" s="10" t="s">
        <v>2666</v>
      </c>
      <c r="F261" s="11" t="s">
        <v>23</v>
      </c>
      <c r="G261" s="11">
        <v>1</v>
      </c>
    </row>
    <row r="262" customHeight="1" spans="1:7">
      <c r="A262" s="3" t="s">
        <v>2476</v>
      </c>
      <c r="B262" s="3">
        <v>2105</v>
      </c>
      <c r="C262" s="3"/>
      <c r="D262" s="10" t="s">
        <v>2480</v>
      </c>
      <c r="E262" s="10" t="s">
        <v>2481</v>
      </c>
      <c r="F262" s="11" t="s">
        <v>26</v>
      </c>
      <c r="G262" s="11">
        <v>2</v>
      </c>
    </row>
    <row r="263" customHeight="1" spans="1:7">
      <c r="A263" s="3" t="s">
        <v>2479</v>
      </c>
      <c r="B263" s="3">
        <v>2105</v>
      </c>
      <c r="C263" s="3"/>
      <c r="D263" s="10" t="s">
        <v>2483</v>
      </c>
      <c r="E263" s="10" t="s">
        <v>2481</v>
      </c>
      <c r="F263" s="11" t="s">
        <v>26</v>
      </c>
      <c r="G263" s="11">
        <v>1</v>
      </c>
    </row>
    <row r="264" customHeight="1" spans="1:7">
      <c r="A264" s="3">
        <v>2</v>
      </c>
      <c r="B264" s="3">
        <v>2105</v>
      </c>
      <c r="C264" s="3"/>
      <c r="D264" s="10" t="s">
        <v>2487</v>
      </c>
      <c r="E264" s="10"/>
      <c r="F264" s="11"/>
      <c r="G264" s="11"/>
    </row>
    <row r="265" customHeight="1" spans="1:7">
      <c r="A265" s="3" t="s">
        <v>2472</v>
      </c>
      <c r="B265" s="3">
        <v>2105</v>
      </c>
      <c r="C265" s="3" t="s">
        <v>1847</v>
      </c>
      <c r="D265" s="10" t="s">
        <v>2488</v>
      </c>
      <c r="E265" s="10" t="s">
        <v>2554</v>
      </c>
      <c r="F265" s="11" t="s">
        <v>1462</v>
      </c>
      <c r="G265" s="11">
        <v>300</v>
      </c>
    </row>
    <row r="266" customHeight="1" spans="1:7">
      <c r="A266" s="3" t="s">
        <v>2475</v>
      </c>
      <c r="B266" s="3">
        <v>2105</v>
      </c>
      <c r="C266" s="3" t="s">
        <v>1843</v>
      </c>
      <c r="D266" s="10" t="s">
        <v>2490</v>
      </c>
      <c r="E266" s="10" t="s">
        <v>2491</v>
      </c>
      <c r="F266" s="11" t="s">
        <v>1462</v>
      </c>
      <c r="G266" s="11">
        <v>450</v>
      </c>
    </row>
    <row r="267" customHeight="1" spans="1:7">
      <c r="A267" s="3" t="s">
        <v>2476</v>
      </c>
      <c r="B267" s="3">
        <v>2105</v>
      </c>
      <c r="C267" s="3" t="s">
        <v>831</v>
      </c>
      <c r="D267" s="10" t="s">
        <v>831</v>
      </c>
      <c r="E267" s="10" t="s">
        <v>2327</v>
      </c>
      <c r="F267" s="11" t="s">
        <v>1462</v>
      </c>
      <c r="G267" s="11">
        <v>50</v>
      </c>
    </row>
    <row r="268" customHeight="1" spans="1:7">
      <c r="A268" s="3" t="s">
        <v>2479</v>
      </c>
      <c r="B268" s="3">
        <v>2105</v>
      </c>
      <c r="C268" s="3" t="s">
        <v>1754</v>
      </c>
      <c r="D268" s="10" t="s">
        <v>2492</v>
      </c>
      <c r="E268" s="10" t="s">
        <v>2327</v>
      </c>
      <c r="F268" s="11" t="s">
        <v>23</v>
      </c>
      <c r="G268" s="11">
        <v>5</v>
      </c>
    </row>
    <row r="269" customHeight="1" spans="1:7">
      <c r="A269" s="3" t="s">
        <v>2482</v>
      </c>
      <c r="B269" s="3">
        <v>2105</v>
      </c>
      <c r="C269" s="3" t="s">
        <v>865</v>
      </c>
      <c r="D269" s="10" t="s">
        <v>2493</v>
      </c>
      <c r="E269" s="10" t="s">
        <v>2494</v>
      </c>
      <c r="F269" s="11" t="s">
        <v>1462</v>
      </c>
      <c r="G269" s="11">
        <v>20</v>
      </c>
    </row>
    <row r="270" customHeight="1" spans="1:7">
      <c r="A270" s="3" t="s">
        <v>2484</v>
      </c>
      <c r="B270" s="3">
        <v>2105</v>
      </c>
      <c r="C270" s="3" t="s">
        <v>865</v>
      </c>
      <c r="D270" s="10" t="s">
        <v>2619</v>
      </c>
      <c r="E270" s="10" t="s">
        <v>2620</v>
      </c>
      <c r="F270" s="11" t="s">
        <v>1462</v>
      </c>
      <c r="G270" s="11">
        <v>5</v>
      </c>
    </row>
    <row r="271" customHeight="1" spans="1:7">
      <c r="A271" s="3"/>
      <c r="B271" s="3"/>
      <c r="C271" s="3"/>
      <c r="D271" s="10"/>
      <c r="E271" s="10"/>
      <c r="F271" s="11"/>
      <c r="G271" s="31"/>
    </row>
    <row r="272" s="1" customFormat="1" customHeight="1" spans="1:7">
      <c r="A272" s="12"/>
      <c r="B272" s="12"/>
      <c r="C272" s="12"/>
      <c r="D272" s="13" t="s">
        <v>34</v>
      </c>
      <c r="E272" s="13"/>
      <c r="F272" s="14"/>
      <c r="G272" s="32"/>
    </row>
    <row r="273" customHeight="1" spans="1:7">
      <c r="A273" s="3" t="s">
        <v>1723</v>
      </c>
      <c r="B273" s="3"/>
      <c r="C273" s="3"/>
      <c r="D273" s="10" t="s">
        <v>2667</v>
      </c>
      <c r="E273" s="10"/>
      <c r="F273" s="11"/>
      <c r="G273" s="11"/>
    </row>
    <row r="274" customHeight="1" spans="1:7">
      <c r="A274" s="3">
        <v>1</v>
      </c>
      <c r="B274" s="3"/>
      <c r="C274" s="3"/>
      <c r="D274" s="10" t="s">
        <v>2471</v>
      </c>
      <c r="E274" s="10"/>
      <c r="F274" s="11"/>
      <c r="G274" s="11"/>
    </row>
    <row r="275" customHeight="1" spans="1:7">
      <c r="A275" s="3">
        <v>1.1</v>
      </c>
      <c r="B275" s="3">
        <v>2150</v>
      </c>
      <c r="C275" s="3"/>
      <c r="D275" s="10" t="s">
        <v>2668</v>
      </c>
      <c r="E275" s="10"/>
      <c r="F275" s="11"/>
      <c r="G275" s="11"/>
    </row>
    <row r="276" customHeight="1" spans="1:7">
      <c r="A276" s="3" t="s">
        <v>2472</v>
      </c>
      <c r="B276" s="3">
        <v>2150</v>
      </c>
      <c r="C276" s="3"/>
      <c r="D276" s="10" t="s">
        <v>2354</v>
      </c>
      <c r="E276" s="10" t="s">
        <v>2669</v>
      </c>
      <c r="F276" s="11" t="s">
        <v>12</v>
      </c>
      <c r="G276" s="11">
        <v>0</v>
      </c>
    </row>
    <row r="277" customHeight="1" spans="1:7">
      <c r="A277" s="3" t="s">
        <v>2475</v>
      </c>
      <c r="B277" s="3">
        <v>2150</v>
      </c>
      <c r="C277" s="3"/>
      <c r="D277" s="10" t="s">
        <v>2354</v>
      </c>
      <c r="E277" s="10" t="s">
        <v>2670</v>
      </c>
      <c r="F277" s="11" t="s">
        <v>12</v>
      </c>
      <c r="G277" s="11">
        <v>1</v>
      </c>
    </row>
    <row r="278" customHeight="1" spans="1:7">
      <c r="A278" s="3" t="s">
        <v>2476</v>
      </c>
      <c r="B278" s="3">
        <v>2150</v>
      </c>
      <c r="C278" s="3"/>
      <c r="D278" s="10" t="s">
        <v>2671</v>
      </c>
      <c r="E278" s="10" t="s">
        <v>2672</v>
      </c>
      <c r="F278" s="11" t="s">
        <v>12</v>
      </c>
      <c r="G278" s="11">
        <v>1</v>
      </c>
    </row>
    <row r="279" customHeight="1" spans="1:7">
      <c r="A279" s="3" t="s">
        <v>2479</v>
      </c>
      <c r="B279" s="3">
        <v>2150</v>
      </c>
      <c r="C279" s="3"/>
      <c r="D279" s="10" t="s">
        <v>2504</v>
      </c>
      <c r="E279" s="10" t="s">
        <v>2505</v>
      </c>
      <c r="F279" s="11" t="s">
        <v>2348</v>
      </c>
      <c r="G279" s="11">
        <v>2</v>
      </c>
    </row>
    <row r="280" customHeight="1" spans="1:7">
      <c r="A280" s="3" t="s">
        <v>2482</v>
      </c>
      <c r="B280" s="3">
        <v>2150</v>
      </c>
      <c r="C280" s="3"/>
      <c r="D280" s="10" t="s">
        <v>2346</v>
      </c>
      <c r="E280" s="10" t="s">
        <v>2506</v>
      </c>
      <c r="F280" s="11" t="s">
        <v>12</v>
      </c>
      <c r="G280" s="11">
        <v>1</v>
      </c>
    </row>
    <row r="281" customHeight="1" spans="1:7">
      <c r="A281" s="3" t="s">
        <v>2484</v>
      </c>
      <c r="B281" s="3">
        <v>2150</v>
      </c>
      <c r="C281" s="3"/>
      <c r="D281" s="10" t="s">
        <v>2565</v>
      </c>
      <c r="E281" s="10" t="s">
        <v>2566</v>
      </c>
      <c r="F281" s="11" t="s">
        <v>2351</v>
      </c>
      <c r="G281" s="11">
        <v>2</v>
      </c>
    </row>
    <row r="282" customHeight="1" spans="1:7">
      <c r="A282" s="3" t="s">
        <v>2496</v>
      </c>
      <c r="B282" s="3">
        <v>2150</v>
      </c>
      <c r="C282" s="3"/>
      <c r="D282" s="10" t="s">
        <v>2673</v>
      </c>
      <c r="E282" s="10" t="s">
        <v>2674</v>
      </c>
      <c r="F282" s="11" t="s">
        <v>12</v>
      </c>
      <c r="G282" s="11">
        <v>1</v>
      </c>
    </row>
    <row r="283" customHeight="1" spans="1:7">
      <c r="A283" s="3" t="s">
        <v>2511</v>
      </c>
      <c r="B283" s="3">
        <v>2150</v>
      </c>
      <c r="C283" s="3"/>
      <c r="D283" s="10" t="s">
        <v>2675</v>
      </c>
      <c r="E283" s="10" t="s">
        <v>2676</v>
      </c>
      <c r="F283" s="11" t="s">
        <v>12</v>
      </c>
      <c r="G283" s="11">
        <v>1</v>
      </c>
    </row>
    <row r="284" customHeight="1" spans="1:7">
      <c r="A284" s="3" t="s">
        <v>2514</v>
      </c>
      <c r="B284" s="3">
        <v>2150</v>
      </c>
      <c r="C284" s="3"/>
      <c r="D284" s="10" t="s">
        <v>2558</v>
      </c>
      <c r="E284" s="10" t="s">
        <v>2613</v>
      </c>
      <c r="F284" s="11" t="s">
        <v>2351</v>
      </c>
      <c r="G284" s="11">
        <v>0</v>
      </c>
    </row>
    <row r="285" customHeight="1" spans="1:7">
      <c r="A285" s="3">
        <v>1.2</v>
      </c>
      <c r="B285" s="3">
        <v>2150</v>
      </c>
      <c r="C285" s="3"/>
      <c r="D285" s="10" t="s">
        <v>2677</v>
      </c>
      <c r="E285" s="10"/>
      <c r="F285" s="11"/>
      <c r="G285" s="11"/>
    </row>
    <row r="286" customHeight="1" spans="1:7">
      <c r="A286" s="3" t="s">
        <v>2472</v>
      </c>
      <c r="B286" s="3">
        <v>2150</v>
      </c>
      <c r="C286" s="3"/>
      <c r="D286" s="10" t="s">
        <v>2354</v>
      </c>
      <c r="E286" s="10" t="s">
        <v>2678</v>
      </c>
      <c r="F286" s="11" t="s">
        <v>12</v>
      </c>
      <c r="G286" s="11">
        <v>2</v>
      </c>
    </row>
    <row r="287" customHeight="1" spans="1:7">
      <c r="A287" s="3" t="s">
        <v>2475</v>
      </c>
      <c r="B287" s="3">
        <v>2150</v>
      </c>
      <c r="C287" s="3"/>
      <c r="D287" s="10" t="s">
        <v>2354</v>
      </c>
      <c r="E287" s="10" t="s">
        <v>2679</v>
      </c>
      <c r="F287" s="11" t="s">
        <v>12</v>
      </c>
      <c r="G287" s="11">
        <v>1</v>
      </c>
    </row>
    <row r="288" customHeight="1" spans="1:7">
      <c r="A288" s="3" t="s">
        <v>2476</v>
      </c>
      <c r="B288" s="3">
        <v>2150</v>
      </c>
      <c r="C288" s="3"/>
      <c r="D288" s="10" t="s">
        <v>2354</v>
      </c>
      <c r="E288" s="10" t="s">
        <v>2680</v>
      </c>
      <c r="F288" s="11" t="s">
        <v>12</v>
      </c>
      <c r="G288" s="11">
        <v>1</v>
      </c>
    </row>
    <row r="289" customHeight="1" spans="1:7">
      <c r="A289" s="3" t="s">
        <v>2479</v>
      </c>
      <c r="B289" s="3">
        <v>2150</v>
      </c>
      <c r="C289" s="3"/>
      <c r="D289" s="10" t="s">
        <v>2354</v>
      </c>
      <c r="E289" s="10" t="s">
        <v>2669</v>
      </c>
      <c r="F289" s="11" t="s">
        <v>12</v>
      </c>
      <c r="G289" s="11">
        <v>2</v>
      </c>
    </row>
    <row r="290" customHeight="1" spans="1:7">
      <c r="A290" s="3" t="s">
        <v>2482</v>
      </c>
      <c r="B290" s="3">
        <v>2150</v>
      </c>
      <c r="C290" s="3"/>
      <c r="D290" s="10" t="s">
        <v>2354</v>
      </c>
      <c r="E290" s="10" t="s">
        <v>2681</v>
      </c>
      <c r="F290" s="11" t="s">
        <v>12</v>
      </c>
      <c r="G290" s="11">
        <v>1</v>
      </c>
    </row>
    <row r="291" customHeight="1" spans="1:7">
      <c r="A291" s="3" t="s">
        <v>2484</v>
      </c>
      <c r="B291" s="3">
        <v>2150</v>
      </c>
      <c r="C291" s="3"/>
      <c r="D291" s="10" t="s">
        <v>2354</v>
      </c>
      <c r="E291" s="10" t="s">
        <v>2682</v>
      </c>
      <c r="F291" s="11" t="s">
        <v>12</v>
      </c>
      <c r="G291" s="11">
        <v>1</v>
      </c>
    </row>
    <row r="292" customHeight="1" spans="1:7">
      <c r="A292" s="3" t="s">
        <v>2496</v>
      </c>
      <c r="B292" s="3">
        <v>2150</v>
      </c>
      <c r="C292" s="3"/>
      <c r="D292" s="10" t="s">
        <v>2504</v>
      </c>
      <c r="E292" s="10" t="s">
        <v>2505</v>
      </c>
      <c r="F292" s="11" t="s">
        <v>2348</v>
      </c>
      <c r="G292" s="11">
        <v>12</v>
      </c>
    </row>
    <row r="293" customHeight="1" spans="1:7">
      <c r="A293" s="3" t="s">
        <v>2511</v>
      </c>
      <c r="B293" s="3">
        <v>2150</v>
      </c>
      <c r="C293" s="3"/>
      <c r="D293" s="10" t="s">
        <v>2346</v>
      </c>
      <c r="E293" s="10" t="s">
        <v>2506</v>
      </c>
      <c r="F293" s="11" t="s">
        <v>12</v>
      </c>
      <c r="G293" s="11">
        <v>6</v>
      </c>
    </row>
    <row r="294" customHeight="1" spans="1:7">
      <c r="A294" s="3" t="s">
        <v>2514</v>
      </c>
      <c r="B294" s="3">
        <v>2150</v>
      </c>
      <c r="C294" s="3"/>
      <c r="D294" s="10" t="s">
        <v>2565</v>
      </c>
      <c r="E294" s="10" t="s">
        <v>2566</v>
      </c>
      <c r="F294" s="11" t="s">
        <v>2351</v>
      </c>
      <c r="G294" s="11">
        <v>4</v>
      </c>
    </row>
    <row r="295" customHeight="1" spans="1:7">
      <c r="A295" s="3" t="s">
        <v>2516</v>
      </c>
      <c r="B295" s="3">
        <v>2150</v>
      </c>
      <c r="C295" s="3"/>
      <c r="D295" s="10" t="s">
        <v>2673</v>
      </c>
      <c r="E295" s="10" t="s">
        <v>2674</v>
      </c>
      <c r="F295" s="11" t="s">
        <v>12</v>
      </c>
      <c r="G295" s="11">
        <v>1</v>
      </c>
    </row>
    <row r="296" customHeight="1" spans="1:7">
      <c r="A296" s="3" t="s">
        <v>2518</v>
      </c>
      <c r="B296" s="3">
        <v>2150</v>
      </c>
      <c r="C296" s="3"/>
      <c r="D296" s="10" t="s">
        <v>2675</v>
      </c>
      <c r="E296" s="10" t="s">
        <v>2676</v>
      </c>
      <c r="F296" s="11" t="s">
        <v>12</v>
      </c>
      <c r="G296" s="11">
        <v>1</v>
      </c>
    </row>
    <row r="297" customHeight="1" spans="1:7">
      <c r="A297" s="3" t="s">
        <v>2520</v>
      </c>
      <c r="B297" s="3">
        <v>2150</v>
      </c>
      <c r="C297" s="3"/>
      <c r="D297" s="10" t="s">
        <v>2558</v>
      </c>
      <c r="E297" s="10" t="s">
        <v>2613</v>
      </c>
      <c r="F297" s="11" t="s">
        <v>2351</v>
      </c>
      <c r="G297" s="11">
        <v>20</v>
      </c>
    </row>
    <row r="298" customHeight="1" spans="1:7">
      <c r="A298" s="3" t="s">
        <v>2523</v>
      </c>
      <c r="B298" s="3">
        <v>2150</v>
      </c>
      <c r="C298" s="3"/>
      <c r="D298" s="10" t="s">
        <v>2683</v>
      </c>
      <c r="E298" s="10" t="s">
        <v>2613</v>
      </c>
      <c r="F298" s="11" t="s">
        <v>23</v>
      </c>
      <c r="G298" s="11">
        <v>3</v>
      </c>
    </row>
    <row r="299" customHeight="1" spans="1:7">
      <c r="A299" s="3">
        <v>1.3</v>
      </c>
      <c r="B299" s="3">
        <v>2150</v>
      </c>
      <c r="C299" s="3"/>
      <c r="D299" s="10" t="s">
        <v>1043</v>
      </c>
      <c r="E299" s="10"/>
      <c r="F299" s="11"/>
      <c r="G299" s="11"/>
    </row>
    <row r="300" customHeight="1" spans="1:7">
      <c r="A300" s="3" t="s">
        <v>2472</v>
      </c>
      <c r="B300" s="3">
        <v>2150</v>
      </c>
      <c r="C300" s="3"/>
      <c r="D300" s="10" t="s">
        <v>2354</v>
      </c>
      <c r="E300" s="10" t="s">
        <v>2558</v>
      </c>
      <c r="F300" s="11" t="s">
        <v>12</v>
      </c>
      <c r="G300" s="11">
        <v>0</v>
      </c>
    </row>
    <row r="301" customHeight="1" spans="1:7">
      <c r="A301" s="3" t="s">
        <v>2475</v>
      </c>
      <c r="B301" s="3">
        <v>2150</v>
      </c>
      <c r="C301" s="3"/>
      <c r="D301" s="10" t="s">
        <v>2354</v>
      </c>
      <c r="E301" s="10" t="s">
        <v>2682</v>
      </c>
      <c r="F301" s="11" t="s">
        <v>12</v>
      </c>
      <c r="G301" s="11">
        <v>0</v>
      </c>
    </row>
    <row r="302" customHeight="1" spans="1:7">
      <c r="A302" s="3" t="s">
        <v>2476</v>
      </c>
      <c r="B302" s="3">
        <v>2150</v>
      </c>
      <c r="C302" s="3"/>
      <c r="D302" s="10" t="s">
        <v>2354</v>
      </c>
      <c r="E302" s="10" t="s">
        <v>2672</v>
      </c>
      <c r="F302" s="11" t="s">
        <v>12</v>
      </c>
      <c r="G302" s="11">
        <v>0</v>
      </c>
    </row>
    <row r="303" customHeight="1" spans="1:7">
      <c r="A303" s="3" t="s">
        <v>2479</v>
      </c>
      <c r="B303" s="3">
        <v>2150</v>
      </c>
      <c r="C303" s="3"/>
      <c r="D303" s="10" t="s">
        <v>2504</v>
      </c>
      <c r="E303" s="10" t="s">
        <v>2505</v>
      </c>
      <c r="F303" s="11" t="s">
        <v>2348</v>
      </c>
      <c r="G303" s="11">
        <v>0</v>
      </c>
    </row>
    <row r="304" customHeight="1" spans="1:7">
      <c r="A304" s="3" t="s">
        <v>2482</v>
      </c>
      <c r="B304" s="3">
        <v>2150</v>
      </c>
      <c r="C304" s="3"/>
      <c r="D304" s="10" t="s">
        <v>2346</v>
      </c>
      <c r="E304" s="10" t="s">
        <v>2506</v>
      </c>
      <c r="F304" s="11" t="s">
        <v>12</v>
      </c>
      <c r="G304" s="11">
        <v>0</v>
      </c>
    </row>
    <row r="305" customHeight="1" spans="1:7">
      <c r="A305" s="3" t="s">
        <v>2484</v>
      </c>
      <c r="B305" s="3">
        <v>2150</v>
      </c>
      <c r="C305" s="3"/>
      <c r="D305" s="10" t="s">
        <v>2565</v>
      </c>
      <c r="E305" s="10" t="s">
        <v>2566</v>
      </c>
      <c r="F305" s="11" t="s">
        <v>2351</v>
      </c>
      <c r="G305" s="11">
        <v>0</v>
      </c>
    </row>
    <row r="306" customHeight="1" spans="1:7">
      <c r="A306" s="3" t="s">
        <v>2496</v>
      </c>
      <c r="B306" s="3">
        <v>2150</v>
      </c>
      <c r="C306" s="3"/>
      <c r="D306" s="10" t="s">
        <v>2352</v>
      </c>
      <c r="E306" s="10" t="s">
        <v>2684</v>
      </c>
      <c r="F306" s="11" t="s">
        <v>26</v>
      </c>
      <c r="G306" s="11">
        <v>0</v>
      </c>
    </row>
    <row r="307" customHeight="1" spans="1:7">
      <c r="A307" s="3" t="s">
        <v>2511</v>
      </c>
      <c r="B307" s="3">
        <v>2150</v>
      </c>
      <c r="C307" s="3"/>
      <c r="D307" s="10" t="s">
        <v>2673</v>
      </c>
      <c r="E307" s="10" t="s">
        <v>2674</v>
      </c>
      <c r="F307" s="11" t="s">
        <v>12</v>
      </c>
      <c r="G307" s="11">
        <v>0</v>
      </c>
    </row>
    <row r="308" customHeight="1" spans="1:7">
      <c r="A308" s="3" t="s">
        <v>2514</v>
      </c>
      <c r="B308" s="3">
        <v>2150</v>
      </c>
      <c r="C308" s="3"/>
      <c r="D308" s="10" t="s">
        <v>2675</v>
      </c>
      <c r="E308" s="10" t="s">
        <v>2676</v>
      </c>
      <c r="F308" s="11" t="s">
        <v>12</v>
      </c>
      <c r="G308" s="11">
        <v>0</v>
      </c>
    </row>
    <row r="309" customHeight="1" spans="1:7">
      <c r="A309" s="3" t="s">
        <v>2516</v>
      </c>
      <c r="B309" s="3">
        <v>2150</v>
      </c>
      <c r="C309" s="3"/>
      <c r="D309" s="10" t="s">
        <v>2683</v>
      </c>
      <c r="E309" s="10" t="s">
        <v>2613</v>
      </c>
      <c r="F309" s="11" t="s">
        <v>23</v>
      </c>
      <c r="G309" s="11">
        <v>0</v>
      </c>
    </row>
    <row r="310" customHeight="1" spans="1:7">
      <c r="A310" s="3">
        <v>1.4</v>
      </c>
      <c r="B310" s="3">
        <v>2150</v>
      </c>
      <c r="C310" s="3"/>
      <c r="D310" s="10" t="s">
        <v>2685</v>
      </c>
      <c r="E310" s="10"/>
      <c r="F310" s="11"/>
      <c r="G310" s="11"/>
    </row>
    <row r="311" customHeight="1" spans="1:7">
      <c r="A311" s="3" t="s">
        <v>2472</v>
      </c>
      <c r="B311" s="3">
        <v>2150</v>
      </c>
      <c r="C311" s="3"/>
      <c r="D311" s="10" t="s">
        <v>2354</v>
      </c>
      <c r="E311" s="10" t="s">
        <v>2678</v>
      </c>
      <c r="F311" s="11" t="s">
        <v>12</v>
      </c>
      <c r="G311" s="11">
        <v>1</v>
      </c>
    </row>
    <row r="312" customHeight="1" spans="1:7">
      <c r="A312" s="3" t="s">
        <v>2475</v>
      </c>
      <c r="B312" s="3">
        <v>2150</v>
      </c>
      <c r="C312" s="3"/>
      <c r="D312" s="10" t="s">
        <v>2354</v>
      </c>
      <c r="E312" s="10" t="s">
        <v>2670</v>
      </c>
      <c r="F312" s="11" t="s">
        <v>12</v>
      </c>
      <c r="G312" s="11">
        <v>1</v>
      </c>
    </row>
    <row r="313" customHeight="1" spans="1:7">
      <c r="A313" s="3" t="s">
        <v>2476</v>
      </c>
      <c r="B313" s="3">
        <v>2150</v>
      </c>
      <c r="C313" s="3"/>
      <c r="D313" s="10" t="s">
        <v>2354</v>
      </c>
      <c r="E313" s="10" t="s">
        <v>2682</v>
      </c>
      <c r="F313" s="11" t="s">
        <v>12</v>
      </c>
      <c r="G313" s="11">
        <v>2</v>
      </c>
    </row>
    <row r="314" customHeight="1" spans="1:7">
      <c r="A314" s="3" t="s">
        <v>2479</v>
      </c>
      <c r="B314" s="3">
        <v>2150</v>
      </c>
      <c r="C314" s="3"/>
      <c r="D314" s="10" t="s">
        <v>2354</v>
      </c>
      <c r="E314" s="10" t="s">
        <v>2672</v>
      </c>
      <c r="F314" s="11" t="s">
        <v>12</v>
      </c>
      <c r="G314" s="11">
        <v>1</v>
      </c>
    </row>
    <row r="315" customHeight="1" spans="1:7">
      <c r="A315" s="3" t="s">
        <v>2482</v>
      </c>
      <c r="B315" s="3">
        <v>2150</v>
      </c>
      <c r="C315" s="3"/>
      <c r="D315" s="10" t="s">
        <v>2504</v>
      </c>
      <c r="E315" s="10" t="s">
        <v>2505</v>
      </c>
      <c r="F315" s="11" t="s">
        <v>2348</v>
      </c>
      <c r="G315" s="11">
        <v>6</v>
      </c>
    </row>
    <row r="316" customHeight="1" spans="1:7">
      <c r="A316" s="3" t="s">
        <v>2484</v>
      </c>
      <c r="B316" s="3">
        <v>2150</v>
      </c>
      <c r="C316" s="3"/>
      <c r="D316" s="10" t="s">
        <v>2346</v>
      </c>
      <c r="E316" s="10" t="s">
        <v>2506</v>
      </c>
      <c r="F316" s="11" t="s">
        <v>12</v>
      </c>
      <c r="G316" s="11">
        <v>2</v>
      </c>
    </row>
    <row r="317" customHeight="1" spans="1:7">
      <c r="A317" s="3" t="s">
        <v>2496</v>
      </c>
      <c r="B317" s="3">
        <v>2150</v>
      </c>
      <c r="C317" s="3"/>
      <c r="D317" s="10" t="s">
        <v>2673</v>
      </c>
      <c r="E317" s="10" t="s">
        <v>2674</v>
      </c>
      <c r="F317" s="11" t="s">
        <v>12</v>
      </c>
      <c r="G317" s="11">
        <v>1</v>
      </c>
    </row>
    <row r="318" customHeight="1" spans="1:7">
      <c r="A318" s="3" t="s">
        <v>2511</v>
      </c>
      <c r="B318" s="3">
        <v>2150</v>
      </c>
      <c r="C318" s="3"/>
      <c r="D318" s="10" t="s">
        <v>2675</v>
      </c>
      <c r="E318" s="10" t="s">
        <v>2676</v>
      </c>
      <c r="F318" s="11" t="s">
        <v>12</v>
      </c>
      <c r="G318" s="11">
        <v>3</v>
      </c>
    </row>
    <row r="319" customHeight="1" spans="1:7">
      <c r="A319" s="3" t="s">
        <v>2514</v>
      </c>
      <c r="B319" s="3">
        <v>2150</v>
      </c>
      <c r="C319" s="3"/>
      <c r="D319" s="10" t="s">
        <v>2617</v>
      </c>
      <c r="E319" s="10" t="s">
        <v>2686</v>
      </c>
      <c r="F319" s="11" t="s">
        <v>12</v>
      </c>
      <c r="G319" s="11">
        <v>2</v>
      </c>
    </row>
    <row r="320" customHeight="1" spans="1:7">
      <c r="A320" s="3">
        <v>1.5</v>
      </c>
      <c r="B320" s="3">
        <v>2150</v>
      </c>
      <c r="C320" s="3"/>
      <c r="D320" s="10" t="s">
        <v>2687</v>
      </c>
      <c r="E320" s="10"/>
      <c r="F320" s="11"/>
      <c r="G320" s="11"/>
    </row>
    <row r="321" customHeight="1" spans="1:7">
      <c r="A321" s="3" t="s">
        <v>2472</v>
      </c>
      <c r="B321" s="3">
        <v>2150</v>
      </c>
      <c r="C321" s="3"/>
      <c r="D321" s="10" t="s">
        <v>2354</v>
      </c>
      <c r="E321" s="10" t="s">
        <v>2681</v>
      </c>
      <c r="F321" s="11" t="s">
        <v>12</v>
      </c>
      <c r="G321" s="11">
        <v>1</v>
      </c>
    </row>
    <row r="322" customHeight="1" spans="1:7">
      <c r="A322" s="3" t="s">
        <v>2475</v>
      </c>
      <c r="B322" s="3">
        <v>2150</v>
      </c>
      <c r="C322" s="3"/>
      <c r="D322" s="10" t="s">
        <v>2354</v>
      </c>
      <c r="E322" s="10" t="s">
        <v>2682</v>
      </c>
      <c r="F322" s="11" t="s">
        <v>12</v>
      </c>
      <c r="G322" s="11">
        <v>1</v>
      </c>
    </row>
    <row r="323" customHeight="1" spans="1:7">
      <c r="A323" s="3" t="s">
        <v>2476</v>
      </c>
      <c r="B323" s="3">
        <v>2150</v>
      </c>
      <c r="C323" s="3"/>
      <c r="D323" s="10" t="s">
        <v>2504</v>
      </c>
      <c r="E323" s="10" t="s">
        <v>2505</v>
      </c>
      <c r="F323" s="11" t="s">
        <v>2348</v>
      </c>
      <c r="G323" s="11">
        <v>4</v>
      </c>
    </row>
    <row r="324" customHeight="1" spans="1:7">
      <c r="A324" s="3" t="s">
        <v>2479</v>
      </c>
      <c r="B324" s="3">
        <v>2150</v>
      </c>
      <c r="C324" s="3"/>
      <c r="D324" s="10" t="s">
        <v>2346</v>
      </c>
      <c r="E324" s="10" t="s">
        <v>2506</v>
      </c>
      <c r="F324" s="11" t="s">
        <v>12</v>
      </c>
      <c r="G324" s="11">
        <v>2</v>
      </c>
    </row>
    <row r="325" customHeight="1" spans="1:7">
      <c r="A325" s="3" t="s">
        <v>2482</v>
      </c>
      <c r="B325" s="3">
        <v>2150</v>
      </c>
      <c r="C325" s="3"/>
      <c r="D325" s="10" t="s">
        <v>2675</v>
      </c>
      <c r="E325" s="10" t="s">
        <v>2676</v>
      </c>
      <c r="F325" s="11" t="s">
        <v>12</v>
      </c>
      <c r="G325" s="11">
        <v>2</v>
      </c>
    </row>
    <row r="326" customHeight="1" spans="1:7">
      <c r="A326" s="3">
        <v>1.6</v>
      </c>
      <c r="B326" s="3">
        <v>2150</v>
      </c>
      <c r="C326" s="3"/>
      <c r="D326" s="10" t="s">
        <v>2688</v>
      </c>
      <c r="E326" s="10"/>
      <c r="F326" s="11"/>
      <c r="G326" s="11"/>
    </row>
    <row r="327" customHeight="1" spans="1:7">
      <c r="A327" s="3" t="s">
        <v>2472</v>
      </c>
      <c r="B327" s="3">
        <v>2150</v>
      </c>
      <c r="C327" s="3"/>
      <c r="D327" s="10" t="s">
        <v>2354</v>
      </c>
      <c r="E327" s="10" t="s">
        <v>2689</v>
      </c>
      <c r="F327" s="11" t="s">
        <v>12</v>
      </c>
      <c r="G327" s="11">
        <v>2</v>
      </c>
    </row>
    <row r="328" customHeight="1" spans="1:7">
      <c r="A328" s="3" t="s">
        <v>2475</v>
      </c>
      <c r="B328" s="3">
        <v>2150</v>
      </c>
      <c r="C328" s="3"/>
      <c r="D328" s="10" t="s">
        <v>2354</v>
      </c>
      <c r="E328" s="10" t="s">
        <v>2690</v>
      </c>
      <c r="F328" s="11" t="s">
        <v>12</v>
      </c>
      <c r="G328" s="11">
        <v>1</v>
      </c>
    </row>
    <row r="329" customHeight="1" spans="1:7">
      <c r="A329" s="3" t="s">
        <v>2476</v>
      </c>
      <c r="B329" s="3">
        <v>2150</v>
      </c>
      <c r="C329" s="3"/>
      <c r="D329" s="10" t="s">
        <v>2354</v>
      </c>
      <c r="E329" s="10" t="s">
        <v>2691</v>
      </c>
      <c r="F329" s="11" t="s">
        <v>12</v>
      </c>
      <c r="G329" s="11">
        <v>1</v>
      </c>
    </row>
    <row r="330" customHeight="1" spans="1:7">
      <c r="A330" s="3" t="s">
        <v>2479</v>
      </c>
      <c r="B330" s="3">
        <v>2150</v>
      </c>
      <c r="C330" s="3"/>
      <c r="D330" s="10" t="s">
        <v>2671</v>
      </c>
      <c r="E330" s="10" t="s">
        <v>2690</v>
      </c>
      <c r="F330" s="11" t="s">
        <v>12</v>
      </c>
      <c r="G330" s="11">
        <v>1</v>
      </c>
    </row>
    <row r="331" customHeight="1" spans="1:7">
      <c r="A331" s="3">
        <v>1.7</v>
      </c>
      <c r="B331" s="3">
        <v>2150</v>
      </c>
      <c r="C331" s="3"/>
      <c r="D331" s="10" t="s">
        <v>2692</v>
      </c>
      <c r="E331" s="10"/>
      <c r="F331" s="11"/>
      <c r="G331" s="11"/>
    </row>
    <row r="332" customHeight="1" spans="1:7">
      <c r="A332" s="3" t="s">
        <v>2472</v>
      </c>
      <c r="B332" s="3">
        <v>2150</v>
      </c>
      <c r="C332" s="3"/>
      <c r="D332" s="10" t="s">
        <v>2354</v>
      </c>
      <c r="E332" s="10" t="s">
        <v>2680</v>
      </c>
      <c r="F332" s="11" t="s">
        <v>12</v>
      </c>
      <c r="G332" s="11">
        <v>1</v>
      </c>
    </row>
    <row r="333" customHeight="1" spans="1:7">
      <c r="A333" s="3" t="s">
        <v>2475</v>
      </c>
      <c r="B333" s="3">
        <v>2150</v>
      </c>
      <c r="C333" s="3"/>
      <c r="D333" s="10" t="s">
        <v>2354</v>
      </c>
      <c r="E333" s="10" t="s">
        <v>2678</v>
      </c>
      <c r="F333" s="11" t="s">
        <v>12</v>
      </c>
      <c r="G333" s="11">
        <v>1</v>
      </c>
    </row>
    <row r="334" customHeight="1" spans="1:7">
      <c r="A334" s="3" t="s">
        <v>2476</v>
      </c>
      <c r="B334" s="3">
        <v>2150</v>
      </c>
      <c r="C334" s="3"/>
      <c r="D334" s="10" t="s">
        <v>2504</v>
      </c>
      <c r="E334" s="10" t="s">
        <v>2505</v>
      </c>
      <c r="F334" s="11" t="s">
        <v>2348</v>
      </c>
      <c r="G334" s="11">
        <v>4</v>
      </c>
    </row>
    <row r="335" customHeight="1" spans="1:7">
      <c r="A335" s="3" t="s">
        <v>2479</v>
      </c>
      <c r="B335" s="3">
        <v>2150</v>
      </c>
      <c r="C335" s="3"/>
      <c r="D335" s="10" t="s">
        <v>2346</v>
      </c>
      <c r="E335" s="10" t="s">
        <v>2506</v>
      </c>
      <c r="F335" s="11" t="s">
        <v>12</v>
      </c>
      <c r="G335" s="11">
        <v>2</v>
      </c>
    </row>
    <row r="336" customHeight="1" spans="1:7">
      <c r="A336" s="3" t="s">
        <v>2482</v>
      </c>
      <c r="B336" s="3">
        <v>2150</v>
      </c>
      <c r="C336" s="3"/>
      <c r="D336" s="10" t="s">
        <v>2675</v>
      </c>
      <c r="E336" s="10" t="s">
        <v>2676</v>
      </c>
      <c r="F336" s="11" t="s">
        <v>12</v>
      </c>
      <c r="G336" s="11">
        <v>2</v>
      </c>
    </row>
    <row r="337" customHeight="1" spans="1:7">
      <c r="A337" s="3" t="s">
        <v>2484</v>
      </c>
      <c r="B337" s="3">
        <v>2150</v>
      </c>
      <c r="C337" s="3"/>
      <c r="D337" s="10" t="s">
        <v>2480</v>
      </c>
      <c r="E337" s="10" t="s">
        <v>2481</v>
      </c>
      <c r="F337" s="11" t="s">
        <v>26</v>
      </c>
      <c r="G337" s="11">
        <v>87</v>
      </c>
    </row>
    <row r="338" customHeight="1" spans="1:7">
      <c r="A338" s="3" t="s">
        <v>2496</v>
      </c>
      <c r="B338" s="3">
        <v>2150</v>
      </c>
      <c r="C338" s="3"/>
      <c r="D338" s="10" t="s">
        <v>2548</v>
      </c>
      <c r="E338" s="10" t="s">
        <v>2481</v>
      </c>
      <c r="F338" s="11" t="s">
        <v>26</v>
      </c>
      <c r="G338" s="11">
        <v>10</v>
      </c>
    </row>
    <row r="339" customHeight="1" spans="1:7">
      <c r="A339" s="3" t="s">
        <v>2511</v>
      </c>
      <c r="B339" s="3">
        <v>2150</v>
      </c>
      <c r="C339" s="3"/>
      <c r="D339" s="10" t="s">
        <v>2483</v>
      </c>
      <c r="E339" s="10" t="s">
        <v>2481</v>
      </c>
      <c r="F339" s="11" t="s">
        <v>26</v>
      </c>
      <c r="G339" s="11">
        <v>15</v>
      </c>
    </row>
    <row r="340" customHeight="1" spans="1:7">
      <c r="A340" s="3" t="s">
        <v>2514</v>
      </c>
      <c r="B340" s="3">
        <v>2150</v>
      </c>
      <c r="C340" s="3"/>
      <c r="D340" s="10" t="s">
        <v>2551</v>
      </c>
      <c r="E340" s="10" t="s">
        <v>2636</v>
      </c>
      <c r="F340" s="11" t="s">
        <v>26</v>
      </c>
      <c r="G340" s="11">
        <v>67</v>
      </c>
    </row>
    <row r="341" customHeight="1" spans="1:7">
      <c r="A341" s="3" t="s">
        <v>2516</v>
      </c>
      <c r="B341" s="3">
        <v>2150</v>
      </c>
      <c r="C341" s="3"/>
      <c r="D341" s="10" t="s">
        <v>2615</v>
      </c>
      <c r="E341" s="10" t="s">
        <v>2693</v>
      </c>
      <c r="F341" s="11" t="s">
        <v>12</v>
      </c>
      <c r="G341" s="11">
        <v>1</v>
      </c>
    </row>
    <row r="342" customHeight="1" spans="1:7">
      <c r="A342" s="3" t="s">
        <v>2518</v>
      </c>
      <c r="B342" s="3">
        <v>2150</v>
      </c>
      <c r="C342" s="3"/>
      <c r="D342" s="10" t="s">
        <v>2617</v>
      </c>
      <c r="E342" s="10" t="s">
        <v>2618</v>
      </c>
      <c r="F342" s="11" t="s">
        <v>12</v>
      </c>
      <c r="G342" s="11">
        <v>13</v>
      </c>
    </row>
    <row r="343" customHeight="1" spans="1:7">
      <c r="A343" s="3">
        <v>2</v>
      </c>
      <c r="B343" s="3">
        <v>2150</v>
      </c>
      <c r="C343" s="3"/>
      <c r="D343" s="10" t="s">
        <v>2487</v>
      </c>
      <c r="E343" s="10"/>
      <c r="F343" s="11"/>
      <c r="G343" s="11"/>
    </row>
    <row r="344" customHeight="1" spans="1:7">
      <c r="A344" s="3" t="s">
        <v>2472</v>
      </c>
      <c r="B344" s="3">
        <v>2150</v>
      </c>
      <c r="C344" s="3" t="s">
        <v>1847</v>
      </c>
      <c r="D344" s="10" t="s">
        <v>2488</v>
      </c>
      <c r="E344" s="10" t="s">
        <v>2489</v>
      </c>
      <c r="F344" s="11" t="s">
        <v>1462</v>
      </c>
      <c r="G344" s="11">
        <v>15000</v>
      </c>
    </row>
    <row r="345" customHeight="1" spans="1:7">
      <c r="A345" s="3" t="s">
        <v>2475</v>
      </c>
      <c r="B345" s="3">
        <v>2150</v>
      </c>
      <c r="C345" s="3" t="s">
        <v>1847</v>
      </c>
      <c r="D345" s="10" t="s">
        <v>2488</v>
      </c>
      <c r="E345" s="10" t="s">
        <v>2554</v>
      </c>
      <c r="F345" s="11" t="s">
        <v>1462</v>
      </c>
      <c r="G345" s="11">
        <v>800</v>
      </c>
    </row>
    <row r="346" customHeight="1" spans="1:7">
      <c r="A346" s="3" t="s">
        <v>2476</v>
      </c>
      <c r="B346" s="3">
        <v>2150</v>
      </c>
      <c r="C346" s="3" t="s">
        <v>1843</v>
      </c>
      <c r="D346" s="10" t="s">
        <v>2490</v>
      </c>
      <c r="E346" s="10" t="s">
        <v>2491</v>
      </c>
      <c r="F346" s="11" t="s">
        <v>1462</v>
      </c>
      <c r="G346" s="11">
        <v>8600</v>
      </c>
    </row>
    <row r="347" customHeight="1" spans="1:7">
      <c r="A347" s="3" t="s">
        <v>2479</v>
      </c>
      <c r="B347" s="3">
        <v>2150</v>
      </c>
      <c r="C347" s="3" t="s">
        <v>831</v>
      </c>
      <c r="D347" s="10" t="s">
        <v>831</v>
      </c>
      <c r="E347" s="10" t="s">
        <v>2327</v>
      </c>
      <c r="F347" s="11" t="s">
        <v>1462</v>
      </c>
      <c r="G347" s="11">
        <v>1220</v>
      </c>
    </row>
    <row r="348" customHeight="1" spans="1:7">
      <c r="A348" s="3" t="s">
        <v>2482</v>
      </c>
      <c r="B348" s="3">
        <v>2150</v>
      </c>
      <c r="C348" s="3" t="s">
        <v>1754</v>
      </c>
      <c r="D348" s="10" t="s">
        <v>2492</v>
      </c>
      <c r="E348" s="10" t="s">
        <v>2327</v>
      </c>
      <c r="F348" s="11" t="s">
        <v>23</v>
      </c>
      <c r="G348" s="11">
        <v>122</v>
      </c>
    </row>
    <row r="349" customHeight="1" spans="1:7">
      <c r="A349" s="3" t="s">
        <v>2484</v>
      </c>
      <c r="B349" s="3">
        <v>2150</v>
      </c>
      <c r="C349" s="3" t="s">
        <v>831</v>
      </c>
      <c r="D349" s="10" t="s">
        <v>831</v>
      </c>
      <c r="E349" s="10" t="s">
        <v>2325</v>
      </c>
      <c r="F349" s="11" t="s">
        <v>1462</v>
      </c>
      <c r="G349" s="11">
        <v>200</v>
      </c>
    </row>
    <row r="350" customHeight="1" spans="1:7">
      <c r="A350" s="3" t="s">
        <v>2496</v>
      </c>
      <c r="B350" s="3">
        <v>2150</v>
      </c>
      <c r="C350" s="3" t="s">
        <v>865</v>
      </c>
      <c r="D350" s="10" t="s">
        <v>2493</v>
      </c>
      <c r="E350" s="10" t="s">
        <v>2494</v>
      </c>
      <c r="F350" s="11" t="s">
        <v>1462</v>
      </c>
      <c r="G350" s="11">
        <v>220</v>
      </c>
    </row>
    <row r="351" customHeight="1" spans="1:7">
      <c r="A351" s="3" t="s">
        <v>2511</v>
      </c>
      <c r="B351" s="3">
        <v>2150</v>
      </c>
      <c r="C351" s="3" t="s">
        <v>865</v>
      </c>
      <c r="D351" s="10" t="s">
        <v>2619</v>
      </c>
      <c r="E351" s="10" t="s">
        <v>2620</v>
      </c>
      <c r="F351" s="11" t="s">
        <v>1462</v>
      </c>
      <c r="G351" s="11">
        <v>30</v>
      </c>
    </row>
    <row r="352" customHeight="1" spans="1:7">
      <c r="A352" s="3" t="s">
        <v>2514</v>
      </c>
      <c r="B352" s="3">
        <v>2150</v>
      </c>
      <c r="C352" s="3" t="s">
        <v>865</v>
      </c>
      <c r="D352" s="10" t="s">
        <v>2556</v>
      </c>
      <c r="E352" s="10" t="s">
        <v>2557</v>
      </c>
      <c r="F352" s="11" t="s">
        <v>2558</v>
      </c>
      <c r="G352" s="11">
        <v>40</v>
      </c>
    </row>
    <row r="353" customHeight="1" spans="1:7">
      <c r="A353" s="3" t="s">
        <v>2516</v>
      </c>
      <c r="B353" s="3">
        <v>2150</v>
      </c>
      <c r="C353" s="3" t="s">
        <v>824</v>
      </c>
      <c r="D353" s="10" t="s">
        <v>824</v>
      </c>
      <c r="E353" s="10" t="s">
        <v>2555</v>
      </c>
      <c r="F353" s="11" t="s">
        <v>1462</v>
      </c>
      <c r="G353" s="11">
        <v>158</v>
      </c>
    </row>
    <row r="354" customHeight="1" spans="1:7">
      <c r="A354" s="3" t="s">
        <v>2518</v>
      </c>
      <c r="B354" s="3">
        <v>2150</v>
      </c>
      <c r="C354" s="3"/>
      <c r="D354" s="10" t="s">
        <v>2621</v>
      </c>
      <c r="E354" s="10" t="s">
        <v>2622</v>
      </c>
      <c r="F354" s="11" t="s">
        <v>1462</v>
      </c>
      <c r="G354" s="11">
        <v>65</v>
      </c>
    </row>
    <row r="355" customHeight="1" spans="1:7">
      <c r="A355" s="3"/>
      <c r="B355" s="3"/>
      <c r="C355" s="3"/>
      <c r="D355" s="10"/>
      <c r="E355" s="10"/>
      <c r="F355" s="11"/>
      <c r="G355" s="31"/>
    </row>
    <row r="356" s="1" customFormat="1" customHeight="1" spans="1:7">
      <c r="A356" s="12"/>
      <c r="B356" s="12"/>
      <c r="C356" s="12"/>
      <c r="D356" s="13" t="s">
        <v>34</v>
      </c>
      <c r="E356" s="13"/>
      <c r="F356" s="14"/>
      <c r="G356" s="32"/>
    </row>
    <row r="357" customHeight="1" spans="1:7">
      <c r="A357" s="3" t="s">
        <v>1707</v>
      </c>
      <c r="B357" s="3"/>
      <c r="C357" s="3"/>
      <c r="D357" s="10" t="s">
        <v>2694</v>
      </c>
      <c r="E357" s="10"/>
      <c r="F357" s="11"/>
      <c r="G357" s="11"/>
    </row>
    <row r="358" customHeight="1" spans="1:7">
      <c r="A358" s="3">
        <v>1</v>
      </c>
      <c r="B358" s="3"/>
      <c r="C358" s="3"/>
      <c r="D358" s="10" t="s">
        <v>2471</v>
      </c>
      <c r="E358" s="10"/>
      <c r="F358" s="11"/>
      <c r="G358" s="11"/>
    </row>
    <row r="359" ht="24" spans="1:7">
      <c r="A359" s="3">
        <v>1.1</v>
      </c>
      <c r="B359" s="27" t="s">
        <v>1092</v>
      </c>
      <c r="C359" s="3"/>
      <c r="D359" s="10" t="s">
        <v>2695</v>
      </c>
      <c r="E359" s="10"/>
      <c r="F359" s="11"/>
      <c r="G359" s="11"/>
    </row>
    <row r="360" customHeight="1" spans="1:7">
      <c r="A360" s="3" t="s">
        <v>2472</v>
      </c>
      <c r="B360" s="27" t="s">
        <v>1092</v>
      </c>
      <c r="C360" s="3"/>
      <c r="D360" s="10" t="s">
        <v>2675</v>
      </c>
      <c r="E360" s="10" t="s">
        <v>2696</v>
      </c>
      <c r="F360" s="11" t="s">
        <v>12</v>
      </c>
      <c r="G360" s="11">
        <v>1</v>
      </c>
    </row>
    <row r="361" customHeight="1" spans="1:7">
      <c r="A361" s="3" t="s">
        <v>2475</v>
      </c>
      <c r="B361" s="27" t="s">
        <v>1092</v>
      </c>
      <c r="C361" s="3"/>
      <c r="D361" s="10" t="s">
        <v>2346</v>
      </c>
      <c r="E361" s="10" t="s">
        <v>2697</v>
      </c>
      <c r="F361" s="11" t="s">
        <v>12</v>
      </c>
      <c r="G361" s="11">
        <v>5</v>
      </c>
    </row>
    <row r="362" customHeight="1" spans="1:7">
      <c r="A362" s="3" t="s">
        <v>2476</v>
      </c>
      <c r="B362" s="27" t="s">
        <v>1092</v>
      </c>
      <c r="C362" s="3"/>
      <c r="D362" s="10" t="s">
        <v>2644</v>
      </c>
      <c r="E362" s="10" t="s">
        <v>2698</v>
      </c>
      <c r="F362" s="11" t="s">
        <v>12</v>
      </c>
      <c r="G362" s="11">
        <v>2</v>
      </c>
    </row>
    <row r="363" customHeight="1" spans="1:7">
      <c r="A363" s="3" t="s">
        <v>2479</v>
      </c>
      <c r="B363" s="27" t="s">
        <v>1092</v>
      </c>
      <c r="C363" s="3"/>
      <c r="D363" s="10" t="s">
        <v>2699</v>
      </c>
      <c r="E363" s="10" t="s">
        <v>2698</v>
      </c>
      <c r="F363" s="11" t="s">
        <v>12</v>
      </c>
      <c r="G363" s="11">
        <v>1</v>
      </c>
    </row>
    <row r="364" customHeight="1" spans="1:7">
      <c r="A364" s="3" t="s">
        <v>2482</v>
      </c>
      <c r="B364" s="27" t="s">
        <v>1092</v>
      </c>
      <c r="C364" s="3"/>
      <c r="D364" s="10" t="s">
        <v>2504</v>
      </c>
      <c r="E364" s="10" t="s">
        <v>2505</v>
      </c>
      <c r="F364" s="11" t="s">
        <v>26</v>
      </c>
      <c r="G364" s="11">
        <v>9</v>
      </c>
    </row>
    <row r="365" customHeight="1" spans="1:7">
      <c r="A365" s="3" t="s">
        <v>2484</v>
      </c>
      <c r="B365" s="27" t="s">
        <v>1092</v>
      </c>
      <c r="C365" s="3"/>
      <c r="D365" s="10" t="s">
        <v>2521</v>
      </c>
      <c r="E365" s="10" t="s">
        <v>2700</v>
      </c>
      <c r="F365" s="11" t="s">
        <v>12</v>
      </c>
      <c r="G365" s="11">
        <v>2</v>
      </c>
    </row>
    <row r="366" customHeight="1" spans="1:7">
      <c r="A366" s="3" t="s">
        <v>2496</v>
      </c>
      <c r="B366" s="27" t="s">
        <v>1092</v>
      </c>
      <c r="C366" s="3"/>
      <c r="D366" s="10" t="s">
        <v>2521</v>
      </c>
      <c r="E366" s="10" t="s">
        <v>2701</v>
      </c>
      <c r="F366" s="11" t="s">
        <v>12</v>
      </c>
      <c r="G366" s="11">
        <v>2</v>
      </c>
    </row>
    <row r="367" customHeight="1" spans="1:7">
      <c r="A367" s="3" t="s">
        <v>2511</v>
      </c>
      <c r="B367" s="27" t="s">
        <v>1092</v>
      </c>
      <c r="C367" s="3"/>
      <c r="D367" s="10" t="s">
        <v>2521</v>
      </c>
      <c r="E367" s="10" t="s">
        <v>2702</v>
      </c>
      <c r="F367" s="11" t="s">
        <v>12</v>
      </c>
      <c r="G367" s="11">
        <v>2</v>
      </c>
    </row>
    <row r="368" customHeight="1" spans="1:7">
      <c r="A368" s="3" t="s">
        <v>2514</v>
      </c>
      <c r="B368" s="27" t="s">
        <v>1092</v>
      </c>
      <c r="C368" s="3"/>
      <c r="D368" s="10" t="s">
        <v>2508</v>
      </c>
      <c r="E368" s="10" t="s">
        <v>2703</v>
      </c>
      <c r="F368" s="11" t="s">
        <v>12</v>
      </c>
      <c r="G368" s="11">
        <v>4</v>
      </c>
    </row>
    <row r="369" customHeight="1" spans="1:7">
      <c r="A369" s="3" t="s">
        <v>2516</v>
      </c>
      <c r="B369" s="27" t="s">
        <v>1092</v>
      </c>
      <c r="C369" s="3"/>
      <c r="D369" s="10" t="s">
        <v>2704</v>
      </c>
      <c r="E369" s="10" t="s">
        <v>2705</v>
      </c>
      <c r="F369" s="11" t="s">
        <v>2351</v>
      </c>
      <c r="G369" s="11">
        <v>2</v>
      </c>
    </row>
    <row r="370" customHeight="1" spans="1:7">
      <c r="A370" s="3" t="s">
        <v>2518</v>
      </c>
      <c r="B370" s="27" t="s">
        <v>1092</v>
      </c>
      <c r="C370" s="3"/>
      <c r="D370" s="10" t="s">
        <v>2704</v>
      </c>
      <c r="E370" s="10" t="s">
        <v>2706</v>
      </c>
      <c r="F370" s="11" t="s">
        <v>2351</v>
      </c>
      <c r="G370" s="11">
        <v>2</v>
      </c>
    </row>
    <row r="371" customHeight="1" spans="1:7">
      <c r="A371" s="3" t="s">
        <v>2520</v>
      </c>
      <c r="B371" s="27" t="s">
        <v>1092</v>
      </c>
      <c r="C371" s="3"/>
      <c r="D371" s="10" t="s">
        <v>2352</v>
      </c>
      <c r="E371" s="10" t="s">
        <v>2684</v>
      </c>
      <c r="F371" s="11" t="s">
        <v>26</v>
      </c>
      <c r="G371" s="11">
        <v>2</v>
      </c>
    </row>
    <row r="372" customHeight="1" spans="1:7">
      <c r="A372" s="3" t="s">
        <v>2523</v>
      </c>
      <c r="B372" s="27" t="s">
        <v>1092</v>
      </c>
      <c r="C372" s="3"/>
      <c r="D372" s="10" t="s">
        <v>2354</v>
      </c>
      <c r="E372" s="10" t="s">
        <v>2707</v>
      </c>
      <c r="F372" s="11" t="s">
        <v>12</v>
      </c>
      <c r="G372" s="11">
        <v>1</v>
      </c>
    </row>
    <row r="373" customHeight="1" spans="1:7">
      <c r="A373" s="3" t="s">
        <v>2525</v>
      </c>
      <c r="B373" s="27" t="s">
        <v>1092</v>
      </c>
      <c r="C373" s="3"/>
      <c r="D373" s="10" t="s">
        <v>2354</v>
      </c>
      <c r="E373" s="10" t="s">
        <v>2708</v>
      </c>
      <c r="F373" s="11" t="s">
        <v>12</v>
      </c>
      <c r="G373" s="11">
        <v>18</v>
      </c>
    </row>
    <row r="374" customHeight="1" spans="1:7">
      <c r="A374" s="3" t="s">
        <v>2527</v>
      </c>
      <c r="B374" s="27" t="s">
        <v>1092</v>
      </c>
      <c r="C374" s="3"/>
      <c r="D374" s="10" t="s">
        <v>2641</v>
      </c>
      <c r="E374" s="10" t="s">
        <v>2709</v>
      </c>
      <c r="F374" s="11" t="s">
        <v>12</v>
      </c>
      <c r="G374" s="11">
        <v>2</v>
      </c>
    </row>
    <row r="375" customHeight="1" spans="1:7">
      <c r="A375" s="3" t="s">
        <v>2529</v>
      </c>
      <c r="B375" s="27" t="s">
        <v>1092</v>
      </c>
      <c r="C375" s="3"/>
      <c r="D375" s="10" t="s">
        <v>2710</v>
      </c>
      <c r="E375" s="10" t="s">
        <v>2711</v>
      </c>
      <c r="F375" s="11" t="s">
        <v>12</v>
      </c>
      <c r="G375" s="11">
        <v>1</v>
      </c>
    </row>
    <row r="376" customHeight="1" spans="1:7">
      <c r="A376" s="3">
        <v>1.2</v>
      </c>
      <c r="B376" s="27" t="s">
        <v>1092</v>
      </c>
      <c r="C376" s="3"/>
      <c r="D376" s="10" t="s">
        <v>2712</v>
      </c>
      <c r="E376" s="10"/>
      <c r="F376" s="11"/>
      <c r="G376" s="11"/>
    </row>
    <row r="377" customHeight="1" spans="1:7">
      <c r="A377" s="3" t="s">
        <v>2472</v>
      </c>
      <c r="B377" s="27" t="s">
        <v>1092</v>
      </c>
      <c r="C377" s="3"/>
      <c r="D377" s="10" t="s">
        <v>2504</v>
      </c>
      <c r="E377" s="10" t="s">
        <v>2505</v>
      </c>
      <c r="F377" s="11" t="s">
        <v>26</v>
      </c>
      <c r="G377" s="11">
        <v>5</v>
      </c>
    </row>
    <row r="378" customHeight="1" spans="1:7">
      <c r="A378" s="3" t="s">
        <v>2475</v>
      </c>
      <c r="B378" s="27" t="s">
        <v>1092</v>
      </c>
      <c r="C378" s="3"/>
      <c r="D378" s="10" t="s">
        <v>2611</v>
      </c>
      <c r="E378" s="10" t="s">
        <v>2713</v>
      </c>
      <c r="F378" s="11" t="s">
        <v>12</v>
      </c>
      <c r="G378" s="11">
        <v>1</v>
      </c>
    </row>
    <row r="379" customHeight="1" spans="1:7">
      <c r="A379" s="3" t="s">
        <v>2476</v>
      </c>
      <c r="B379" s="27" t="s">
        <v>1092</v>
      </c>
      <c r="C379" s="3"/>
      <c r="D379" s="10" t="s">
        <v>2714</v>
      </c>
      <c r="E379" s="10" t="s">
        <v>2715</v>
      </c>
      <c r="F379" s="11" t="s">
        <v>12</v>
      </c>
      <c r="G379" s="11">
        <v>3</v>
      </c>
    </row>
    <row r="380" customHeight="1" spans="1:7">
      <c r="A380" s="3" t="s">
        <v>2479</v>
      </c>
      <c r="B380" s="27" t="s">
        <v>1092</v>
      </c>
      <c r="C380" s="3"/>
      <c r="D380" s="10" t="s">
        <v>2558</v>
      </c>
      <c r="E380" s="10" t="s">
        <v>2640</v>
      </c>
      <c r="F380" s="11" t="s">
        <v>12</v>
      </c>
      <c r="G380" s="11">
        <v>1</v>
      </c>
    </row>
    <row r="381" customHeight="1" spans="1:7">
      <c r="A381" s="3" t="s">
        <v>2482</v>
      </c>
      <c r="B381" s="27" t="s">
        <v>1092</v>
      </c>
      <c r="C381" s="3"/>
      <c r="D381" s="10" t="s">
        <v>2558</v>
      </c>
      <c r="E381" s="10" t="s">
        <v>2640</v>
      </c>
      <c r="F381" s="11" t="s">
        <v>12</v>
      </c>
      <c r="G381" s="11">
        <v>2</v>
      </c>
    </row>
    <row r="382" customHeight="1" spans="1:7">
      <c r="A382" s="3" t="s">
        <v>2484</v>
      </c>
      <c r="B382" s="27" t="s">
        <v>1092</v>
      </c>
      <c r="C382" s="3"/>
      <c r="D382" s="10" t="s">
        <v>2558</v>
      </c>
      <c r="E382" s="10" t="s">
        <v>2640</v>
      </c>
      <c r="F382" s="11" t="s">
        <v>12</v>
      </c>
      <c r="G382" s="11">
        <v>2</v>
      </c>
    </row>
    <row r="383" customHeight="1" spans="1:7">
      <c r="A383" s="3" t="s">
        <v>2496</v>
      </c>
      <c r="B383" s="27" t="s">
        <v>1092</v>
      </c>
      <c r="C383" s="3"/>
      <c r="D383" s="10" t="s">
        <v>2558</v>
      </c>
      <c r="E383" s="10" t="s">
        <v>2640</v>
      </c>
      <c r="F383" s="11" t="s">
        <v>12</v>
      </c>
      <c r="G383" s="11">
        <v>1</v>
      </c>
    </row>
    <row r="384" ht="24" spans="1:7">
      <c r="A384" s="3">
        <v>1.3</v>
      </c>
      <c r="B384" s="27" t="s">
        <v>1092</v>
      </c>
      <c r="C384" s="3"/>
      <c r="D384" s="10" t="s">
        <v>2716</v>
      </c>
      <c r="E384" s="10"/>
      <c r="F384" s="11"/>
      <c r="G384" s="11"/>
    </row>
    <row r="385" customHeight="1" spans="1:7">
      <c r="A385" s="3" t="s">
        <v>2472</v>
      </c>
      <c r="B385" s="27" t="s">
        <v>1092</v>
      </c>
      <c r="C385" s="3"/>
      <c r="D385" s="10" t="s">
        <v>2346</v>
      </c>
      <c r="E385" s="10" t="s">
        <v>2697</v>
      </c>
      <c r="F385" s="11" t="s">
        <v>12</v>
      </c>
      <c r="G385" s="11">
        <v>4</v>
      </c>
    </row>
    <row r="386" customHeight="1" spans="1:7">
      <c r="A386" s="3" t="s">
        <v>2475</v>
      </c>
      <c r="B386" s="27" t="s">
        <v>1092</v>
      </c>
      <c r="C386" s="3"/>
      <c r="D386" s="10" t="s">
        <v>2504</v>
      </c>
      <c r="E386" s="10" t="s">
        <v>2505</v>
      </c>
      <c r="F386" s="11" t="s">
        <v>26</v>
      </c>
      <c r="G386" s="11">
        <v>1</v>
      </c>
    </row>
    <row r="387" customHeight="1" spans="1:7">
      <c r="A387" s="3" t="s">
        <v>2476</v>
      </c>
      <c r="B387" s="27" t="s">
        <v>1092</v>
      </c>
      <c r="C387" s="3"/>
      <c r="D387" s="10" t="s">
        <v>2565</v>
      </c>
      <c r="E387" s="10" t="s">
        <v>2717</v>
      </c>
      <c r="F387" s="11" t="s">
        <v>2351</v>
      </c>
      <c r="G387" s="11">
        <v>3</v>
      </c>
    </row>
    <row r="388" customHeight="1" spans="1:7">
      <c r="A388" s="3" t="s">
        <v>2479</v>
      </c>
      <c r="B388" s="27" t="s">
        <v>1092</v>
      </c>
      <c r="C388" s="3"/>
      <c r="D388" s="10" t="s">
        <v>2512</v>
      </c>
      <c r="E388" s="10" t="s">
        <v>2718</v>
      </c>
      <c r="F388" s="11" t="s">
        <v>12</v>
      </c>
      <c r="G388" s="11">
        <v>1</v>
      </c>
    </row>
    <row r="389" customHeight="1" spans="1:7">
      <c r="A389" s="3" t="s">
        <v>2482</v>
      </c>
      <c r="B389" s="27" t="s">
        <v>1092</v>
      </c>
      <c r="C389" s="3"/>
      <c r="D389" s="10" t="s">
        <v>2714</v>
      </c>
      <c r="E389" s="10" t="s">
        <v>2719</v>
      </c>
      <c r="F389" s="11" t="s">
        <v>12</v>
      </c>
      <c r="G389" s="11">
        <v>1</v>
      </c>
    </row>
    <row r="390" customHeight="1" spans="1:7">
      <c r="A390" s="3" t="s">
        <v>2484</v>
      </c>
      <c r="B390" s="27" t="s">
        <v>1092</v>
      </c>
      <c r="C390" s="3"/>
      <c r="D390" s="10" t="s">
        <v>2714</v>
      </c>
      <c r="E390" s="10" t="s">
        <v>2720</v>
      </c>
      <c r="F390" s="11" t="s">
        <v>12</v>
      </c>
      <c r="G390" s="11">
        <v>1</v>
      </c>
    </row>
    <row r="391" customHeight="1" spans="1:7">
      <c r="A391" s="3" t="s">
        <v>2496</v>
      </c>
      <c r="B391" s="27" t="s">
        <v>1092</v>
      </c>
      <c r="C391" s="3"/>
      <c r="D391" s="10" t="s">
        <v>2558</v>
      </c>
      <c r="E391" s="10" t="s">
        <v>2640</v>
      </c>
      <c r="F391" s="11" t="s">
        <v>12</v>
      </c>
      <c r="G391" s="11">
        <v>16</v>
      </c>
    </row>
    <row r="392" customHeight="1" spans="1:7">
      <c r="A392" s="3" t="s">
        <v>2511</v>
      </c>
      <c r="B392" s="27" t="s">
        <v>1092</v>
      </c>
      <c r="C392" s="3"/>
      <c r="D392" s="10" t="s">
        <v>2558</v>
      </c>
      <c r="E392" s="10" t="s">
        <v>2640</v>
      </c>
      <c r="F392" s="11" t="s">
        <v>12</v>
      </c>
      <c r="G392" s="11">
        <v>1</v>
      </c>
    </row>
    <row r="393" customHeight="1" spans="1:7">
      <c r="A393" s="3" t="s">
        <v>2514</v>
      </c>
      <c r="B393" s="27" t="s">
        <v>1092</v>
      </c>
      <c r="C393" s="3"/>
      <c r="D393" s="10" t="s">
        <v>2617</v>
      </c>
      <c r="E393" s="10" t="s">
        <v>2686</v>
      </c>
      <c r="F393" s="11" t="s">
        <v>12</v>
      </c>
      <c r="G393" s="11">
        <v>4</v>
      </c>
    </row>
    <row r="394" customHeight="1" spans="1:7">
      <c r="A394" s="3">
        <v>1.4</v>
      </c>
      <c r="B394" s="27" t="s">
        <v>1092</v>
      </c>
      <c r="C394" s="3"/>
      <c r="D394" s="10" t="s">
        <v>2721</v>
      </c>
      <c r="E394" s="10"/>
      <c r="F394" s="11"/>
      <c r="G394" s="11"/>
    </row>
    <row r="395" customHeight="1" spans="1:7">
      <c r="A395" s="3" t="s">
        <v>2472</v>
      </c>
      <c r="B395" s="27" t="s">
        <v>1092</v>
      </c>
      <c r="C395" s="3"/>
      <c r="D395" s="10" t="s">
        <v>2714</v>
      </c>
      <c r="E395" s="10" t="s">
        <v>2722</v>
      </c>
      <c r="F395" s="11" t="s">
        <v>12</v>
      </c>
      <c r="G395" s="11">
        <v>1</v>
      </c>
    </row>
    <row r="396" customHeight="1" spans="1:7">
      <c r="A396" s="3" t="s">
        <v>2475</v>
      </c>
      <c r="B396" s="27" t="s">
        <v>1092</v>
      </c>
      <c r="C396" s="3"/>
      <c r="D396" s="10" t="s">
        <v>2714</v>
      </c>
      <c r="E396" s="10" t="s">
        <v>2715</v>
      </c>
      <c r="F396" s="11" t="s">
        <v>12</v>
      </c>
      <c r="G396" s="11">
        <v>1</v>
      </c>
    </row>
    <row r="397" customHeight="1" spans="1:7">
      <c r="A397" s="3" t="s">
        <v>2476</v>
      </c>
      <c r="B397" s="27" t="s">
        <v>1092</v>
      </c>
      <c r="C397" s="3"/>
      <c r="D397" s="10" t="s">
        <v>2558</v>
      </c>
      <c r="E397" s="10" t="s">
        <v>2640</v>
      </c>
      <c r="F397" s="11" t="s">
        <v>12</v>
      </c>
      <c r="G397" s="11">
        <v>1</v>
      </c>
    </row>
    <row r="398" customHeight="1" spans="1:7">
      <c r="A398" s="3" t="s">
        <v>2479</v>
      </c>
      <c r="B398" s="27" t="s">
        <v>1092</v>
      </c>
      <c r="C398" s="3"/>
      <c r="D398" s="10" t="s">
        <v>2558</v>
      </c>
      <c r="E398" s="10" t="s">
        <v>2640</v>
      </c>
      <c r="F398" s="11" t="s">
        <v>12</v>
      </c>
      <c r="G398" s="11">
        <v>1</v>
      </c>
    </row>
    <row r="399" customHeight="1" spans="1:7">
      <c r="A399" s="3">
        <v>1.5</v>
      </c>
      <c r="B399" s="27" t="s">
        <v>1092</v>
      </c>
      <c r="C399" s="3"/>
      <c r="D399" s="10" t="s">
        <v>2723</v>
      </c>
      <c r="E399" s="10"/>
      <c r="F399" s="11"/>
      <c r="G399" s="11"/>
    </row>
    <row r="400" customHeight="1" spans="1:7">
      <c r="A400" s="3" t="s">
        <v>2472</v>
      </c>
      <c r="B400" s="27" t="s">
        <v>1092</v>
      </c>
      <c r="C400" s="3"/>
      <c r="D400" s="10" t="s">
        <v>2644</v>
      </c>
      <c r="E400" s="10" t="s">
        <v>2698</v>
      </c>
      <c r="F400" s="11" t="s">
        <v>12</v>
      </c>
      <c r="G400" s="11">
        <v>1</v>
      </c>
    </row>
    <row r="401" customHeight="1" spans="1:7">
      <c r="A401" s="3" t="s">
        <v>2475</v>
      </c>
      <c r="B401" s="27" t="s">
        <v>1092</v>
      </c>
      <c r="C401" s="3"/>
      <c r="D401" s="10" t="s">
        <v>2504</v>
      </c>
      <c r="E401" s="10" t="s">
        <v>2505</v>
      </c>
      <c r="F401" s="11" t="s">
        <v>26</v>
      </c>
      <c r="G401" s="11">
        <v>1</v>
      </c>
    </row>
    <row r="402" customHeight="1" spans="1:7">
      <c r="A402" s="3" t="s">
        <v>2476</v>
      </c>
      <c r="B402" s="27" t="s">
        <v>1092</v>
      </c>
      <c r="C402" s="3"/>
      <c r="D402" s="10" t="s">
        <v>2714</v>
      </c>
      <c r="E402" s="10" t="s">
        <v>2724</v>
      </c>
      <c r="F402" s="11" t="s">
        <v>12</v>
      </c>
      <c r="G402" s="11">
        <v>1</v>
      </c>
    </row>
    <row r="403" customHeight="1" spans="1:7">
      <c r="A403" s="3" t="s">
        <v>2479</v>
      </c>
      <c r="B403" s="27" t="s">
        <v>1092</v>
      </c>
      <c r="C403" s="3"/>
      <c r="D403" s="10" t="s">
        <v>2558</v>
      </c>
      <c r="E403" s="10" t="s">
        <v>2640</v>
      </c>
      <c r="F403" s="11" t="s">
        <v>12</v>
      </c>
      <c r="G403" s="11">
        <v>10</v>
      </c>
    </row>
    <row r="404" customHeight="1" spans="1:7">
      <c r="A404" s="3" t="s">
        <v>2482</v>
      </c>
      <c r="B404" s="27" t="s">
        <v>1092</v>
      </c>
      <c r="C404" s="3"/>
      <c r="D404" s="10" t="s">
        <v>2558</v>
      </c>
      <c r="E404" s="10" t="s">
        <v>2640</v>
      </c>
      <c r="F404" s="11" t="s">
        <v>12</v>
      </c>
      <c r="G404" s="11">
        <v>4</v>
      </c>
    </row>
    <row r="405" customHeight="1" spans="1:7">
      <c r="A405" s="3" t="s">
        <v>2484</v>
      </c>
      <c r="B405" s="27" t="s">
        <v>1092</v>
      </c>
      <c r="C405" s="3"/>
      <c r="D405" s="10" t="s">
        <v>2558</v>
      </c>
      <c r="E405" s="10" t="s">
        <v>2640</v>
      </c>
      <c r="F405" s="11" t="s">
        <v>12</v>
      </c>
      <c r="G405" s="11">
        <v>1</v>
      </c>
    </row>
    <row r="406" customHeight="1" spans="1:7">
      <c r="A406" s="3" t="s">
        <v>2496</v>
      </c>
      <c r="B406" s="27" t="s">
        <v>1092</v>
      </c>
      <c r="C406" s="3"/>
      <c r="D406" s="10" t="s">
        <v>2558</v>
      </c>
      <c r="E406" s="10" t="s">
        <v>2640</v>
      </c>
      <c r="F406" s="11" t="s">
        <v>12</v>
      </c>
      <c r="G406" s="11">
        <v>1</v>
      </c>
    </row>
    <row r="407" customHeight="1" spans="1:7">
      <c r="A407" s="3" t="s">
        <v>2511</v>
      </c>
      <c r="B407" s="27" t="s">
        <v>1092</v>
      </c>
      <c r="C407" s="3"/>
      <c r="D407" s="10" t="s">
        <v>2617</v>
      </c>
      <c r="E407" s="10" t="s">
        <v>2686</v>
      </c>
      <c r="F407" s="11" t="s">
        <v>12</v>
      </c>
      <c r="G407" s="11">
        <v>1</v>
      </c>
    </row>
    <row r="408" customHeight="1" spans="1:7">
      <c r="A408" s="3">
        <v>1.6</v>
      </c>
      <c r="B408" s="27" t="s">
        <v>1092</v>
      </c>
      <c r="C408" s="3"/>
      <c r="D408" s="10" t="s">
        <v>2725</v>
      </c>
      <c r="E408" s="10"/>
      <c r="F408" s="11"/>
      <c r="G408" s="11"/>
    </row>
    <row r="409" customHeight="1" spans="1:7">
      <c r="A409" s="3" t="s">
        <v>2472</v>
      </c>
      <c r="B409" s="27" t="s">
        <v>1092</v>
      </c>
      <c r="C409" s="3"/>
      <c r="D409" s="10" t="s">
        <v>2558</v>
      </c>
      <c r="E409" s="10" t="s">
        <v>2558</v>
      </c>
      <c r="F409" s="11" t="s">
        <v>23</v>
      </c>
      <c r="G409" s="11">
        <v>1</v>
      </c>
    </row>
    <row r="410" customHeight="1" spans="1:7">
      <c r="A410" s="3" t="s">
        <v>2475</v>
      </c>
      <c r="B410" s="27" t="s">
        <v>1092</v>
      </c>
      <c r="C410" s="3"/>
      <c r="D410" s="10" t="s">
        <v>2558</v>
      </c>
      <c r="E410" s="10" t="s">
        <v>2558</v>
      </c>
      <c r="F410" s="11" t="s">
        <v>23</v>
      </c>
      <c r="G410" s="11">
        <v>1</v>
      </c>
    </row>
    <row r="411" customHeight="1" spans="1:7">
      <c r="A411" s="3" t="s">
        <v>2476</v>
      </c>
      <c r="B411" s="27" t="s">
        <v>1092</v>
      </c>
      <c r="C411" s="3"/>
      <c r="D411" s="10" t="s">
        <v>2558</v>
      </c>
      <c r="E411" s="10" t="s">
        <v>2558</v>
      </c>
      <c r="F411" s="11" t="s">
        <v>23</v>
      </c>
      <c r="G411" s="11">
        <v>1</v>
      </c>
    </row>
    <row r="412" customHeight="1" spans="1:7">
      <c r="A412" s="3" t="s">
        <v>2479</v>
      </c>
      <c r="B412" s="27" t="s">
        <v>1092</v>
      </c>
      <c r="C412" s="3"/>
      <c r="D412" s="10" t="s">
        <v>2565</v>
      </c>
      <c r="E412" s="10" t="s">
        <v>2717</v>
      </c>
      <c r="F412" s="11" t="s">
        <v>2351</v>
      </c>
      <c r="G412" s="11">
        <v>2</v>
      </c>
    </row>
    <row r="413" customHeight="1" spans="1:7">
      <c r="A413" s="3" t="s">
        <v>2482</v>
      </c>
      <c r="B413" s="27" t="s">
        <v>1092</v>
      </c>
      <c r="C413" s="3"/>
      <c r="D413" s="10" t="s">
        <v>2352</v>
      </c>
      <c r="E413" s="10" t="s">
        <v>2684</v>
      </c>
      <c r="F413" s="11" t="s">
        <v>26</v>
      </c>
      <c r="G413" s="11">
        <v>2</v>
      </c>
    </row>
    <row r="414" customHeight="1" spans="1:7">
      <c r="A414" s="3" t="s">
        <v>2484</v>
      </c>
      <c r="B414" s="27" t="s">
        <v>1092</v>
      </c>
      <c r="C414" s="3"/>
      <c r="D414" s="10" t="s">
        <v>2346</v>
      </c>
      <c r="E414" s="10" t="s">
        <v>2697</v>
      </c>
      <c r="F414" s="11" t="s">
        <v>12</v>
      </c>
      <c r="G414" s="11">
        <v>2</v>
      </c>
    </row>
    <row r="415" customHeight="1" spans="1:7">
      <c r="A415" s="3" t="s">
        <v>2496</v>
      </c>
      <c r="B415" s="27" t="s">
        <v>1092</v>
      </c>
      <c r="C415" s="3"/>
      <c r="D415" s="10" t="s">
        <v>2504</v>
      </c>
      <c r="E415" s="10" t="s">
        <v>2505</v>
      </c>
      <c r="F415" s="11" t="s">
        <v>26</v>
      </c>
      <c r="G415" s="11">
        <v>6</v>
      </c>
    </row>
    <row r="416" customHeight="1" spans="1:7">
      <c r="A416" s="3" t="s">
        <v>2511</v>
      </c>
      <c r="B416" s="27" t="s">
        <v>1092</v>
      </c>
      <c r="C416" s="3"/>
      <c r="D416" s="10" t="s">
        <v>2726</v>
      </c>
      <c r="E416" s="10" t="s">
        <v>2727</v>
      </c>
      <c r="F416" s="11" t="s">
        <v>26</v>
      </c>
      <c r="G416" s="11">
        <v>1</v>
      </c>
    </row>
    <row r="417" customHeight="1" spans="1:7">
      <c r="A417" s="3" t="s">
        <v>2514</v>
      </c>
      <c r="B417" s="27" t="s">
        <v>1092</v>
      </c>
      <c r="C417" s="3"/>
      <c r="D417" s="10" t="s">
        <v>2728</v>
      </c>
      <c r="E417" s="10" t="s">
        <v>2729</v>
      </c>
      <c r="F417" s="11" t="s">
        <v>12</v>
      </c>
      <c r="G417" s="11">
        <v>1</v>
      </c>
    </row>
    <row r="418" customHeight="1" spans="1:7">
      <c r="A418" s="3" t="s">
        <v>2516</v>
      </c>
      <c r="B418" s="27" t="s">
        <v>1092</v>
      </c>
      <c r="C418" s="3"/>
      <c r="D418" s="10" t="s">
        <v>2354</v>
      </c>
      <c r="E418" s="10" t="s">
        <v>2730</v>
      </c>
      <c r="F418" s="11" t="s">
        <v>12</v>
      </c>
      <c r="G418" s="11">
        <v>3</v>
      </c>
    </row>
    <row r="419" customHeight="1" spans="1:7">
      <c r="A419" s="3" t="s">
        <v>2518</v>
      </c>
      <c r="B419" s="27" t="s">
        <v>1092</v>
      </c>
      <c r="C419" s="3"/>
      <c r="D419" s="10" t="s">
        <v>2354</v>
      </c>
      <c r="E419" s="10" t="s">
        <v>2731</v>
      </c>
      <c r="F419" s="11" t="s">
        <v>12</v>
      </c>
      <c r="G419" s="11">
        <v>2</v>
      </c>
    </row>
    <row r="420" customHeight="1" spans="1:7">
      <c r="A420" s="3" t="s">
        <v>2520</v>
      </c>
      <c r="B420" s="27" t="s">
        <v>1092</v>
      </c>
      <c r="C420" s="3"/>
      <c r="D420" s="10" t="s">
        <v>2617</v>
      </c>
      <c r="E420" s="10" t="s">
        <v>2686</v>
      </c>
      <c r="F420" s="11" t="s">
        <v>12</v>
      </c>
      <c r="G420" s="11">
        <v>3</v>
      </c>
    </row>
    <row r="421" customHeight="1" spans="1:7">
      <c r="A421" s="3">
        <v>1.7</v>
      </c>
      <c r="B421" s="27" t="s">
        <v>1092</v>
      </c>
      <c r="C421" s="3"/>
      <c r="D421" s="10" t="s">
        <v>2732</v>
      </c>
      <c r="E421" s="10"/>
      <c r="F421" s="11"/>
      <c r="G421" s="11"/>
    </row>
    <row r="422" customHeight="1" spans="1:7">
      <c r="A422" s="3" t="s">
        <v>2472</v>
      </c>
      <c r="B422" s="27" t="s">
        <v>1092</v>
      </c>
      <c r="C422" s="3"/>
      <c r="D422" s="10" t="s">
        <v>2565</v>
      </c>
      <c r="E422" s="10" t="s">
        <v>2717</v>
      </c>
      <c r="F422" s="11" t="s">
        <v>2351</v>
      </c>
      <c r="G422" s="11">
        <v>2</v>
      </c>
    </row>
    <row r="423" customHeight="1" spans="1:7">
      <c r="A423" s="3" t="s">
        <v>2475</v>
      </c>
      <c r="B423" s="27" t="s">
        <v>1092</v>
      </c>
      <c r="C423" s="3"/>
      <c r="D423" s="10" t="s">
        <v>2346</v>
      </c>
      <c r="E423" s="10" t="s">
        <v>2697</v>
      </c>
      <c r="F423" s="11" t="s">
        <v>12</v>
      </c>
      <c r="G423" s="11">
        <v>4</v>
      </c>
    </row>
    <row r="424" customHeight="1" spans="1:7">
      <c r="A424" s="3" t="s">
        <v>2476</v>
      </c>
      <c r="B424" s="27" t="s">
        <v>1092</v>
      </c>
      <c r="C424" s="3"/>
      <c r="D424" s="10" t="s">
        <v>2644</v>
      </c>
      <c r="E424" s="10" t="s">
        <v>2698</v>
      </c>
      <c r="F424" s="11" t="s">
        <v>12</v>
      </c>
      <c r="G424" s="11">
        <v>1</v>
      </c>
    </row>
    <row r="425" customHeight="1" spans="1:7">
      <c r="A425" s="3" t="s">
        <v>2479</v>
      </c>
      <c r="B425" s="27" t="s">
        <v>1092</v>
      </c>
      <c r="C425" s="3"/>
      <c r="D425" s="10" t="s">
        <v>2504</v>
      </c>
      <c r="E425" s="10" t="s">
        <v>2505</v>
      </c>
      <c r="F425" s="11" t="s">
        <v>26</v>
      </c>
      <c r="G425" s="11">
        <v>3</v>
      </c>
    </row>
    <row r="426" customHeight="1" spans="1:7">
      <c r="A426" s="3" t="s">
        <v>2482</v>
      </c>
      <c r="B426" s="27" t="s">
        <v>1092</v>
      </c>
      <c r="C426" s="3"/>
      <c r="D426" s="10" t="s">
        <v>2558</v>
      </c>
      <c r="E426" s="10" t="s">
        <v>2640</v>
      </c>
      <c r="F426" s="11" t="s">
        <v>26</v>
      </c>
      <c r="G426" s="11">
        <v>2</v>
      </c>
    </row>
    <row r="427" customHeight="1" spans="1:7">
      <c r="A427" s="3" t="s">
        <v>2484</v>
      </c>
      <c r="B427" s="27" t="s">
        <v>1092</v>
      </c>
      <c r="C427" s="3"/>
      <c r="D427" s="10" t="s">
        <v>2617</v>
      </c>
      <c r="E427" s="10" t="s">
        <v>2686</v>
      </c>
      <c r="F427" s="11" t="s">
        <v>12</v>
      </c>
      <c r="G427" s="11">
        <v>5</v>
      </c>
    </row>
    <row r="428" customHeight="1" spans="1:7">
      <c r="A428" s="3">
        <v>1.8</v>
      </c>
      <c r="B428" s="27" t="s">
        <v>1092</v>
      </c>
      <c r="C428" s="3"/>
      <c r="D428" s="10" t="s">
        <v>2733</v>
      </c>
      <c r="E428" s="10"/>
      <c r="F428" s="11"/>
      <c r="G428" s="11"/>
    </row>
    <row r="429" customHeight="1" spans="1:7">
      <c r="A429" s="3" t="s">
        <v>2472</v>
      </c>
      <c r="B429" s="27" t="s">
        <v>1092</v>
      </c>
      <c r="C429" s="3"/>
      <c r="D429" s="10" t="s">
        <v>2346</v>
      </c>
      <c r="E429" s="10" t="s">
        <v>2697</v>
      </c>
      <c r="F429" s="11" t="s">
        <v>12</v>
      </c>
      <c r="G429" s="11">
        <v>1</v>
      </c>
    </row>
    <row r="430" customHeight="1" spans="1:7">
      <c r="A430" s="3" t="s">
        <v>2475</v>
      </c>
      <c r="B430" s="27" t="s">
        <v>1092</v>
      </c>
      <c r="C430" s="3"/>
      <c r="D430" s="10" t="s">
        <v>2504</v>
      </c>
      <c r="E430" s="10" t="s">
        <v>2505</v>
      </c>
      <c r="F430" s="11" t="s">
        <v>26</v>
      </c>
      <c r="G430" s="11">
        <v>1</v>
      </c>
    </row>
    <row r="431" customHeight="1" spans="1:7">
      <c r="A431" s="3" t="s">
        <v>2476</v>
      </c>
      <c r="B431" s="27" t="s">
        <v>1092</v>
      </c>
      <c r="C431" s="3"/>
      <c r="D431" s="10" t="s">
        <v>2521</v>
      </c>
      <c r="E431" s="10" t="s">
        <v>2734</v>
      </c>
      <c r="F431" s="11" t="s">
        <v>12</v>
      </c>
      <c r="G431" s="11">
        <v>1</v>
      </c>
    </row>
    <row r="432" customHeight="1" spans="1:7">
      <c r="A432" s="3" t="s">
        <v>2479</v>
      </c>
      <c r="B432" s="27" t="s">
        <v>1092</v>
      </c>
      <c r="C432" s="3"/>
      <c r="D432" s="10" t="s">
        <v>2512</v>
      </c>
      <c r="E432" s="10" t="s">
        <v>2735</v>
      </c>
      <c r="F432" s="11" t="s">
        <v>12</v>
      </c>
      <c r="G432" s="11">
        <v>1</v>
      </c>
    </row>
    <row r="433" customHeight="1" spans="1:7">
      <c r="A433" s="3" t="s">
        <v>2482</v>
      </c>
      <c r="B433" s="27" t="s">
        <v>1092</v>
      </c>
      <c r="C433" s="3"/>
      <c r="D433" s="10" t="s">
        <v>2644</v>
      </c>
      <c r="E433" s="10" t="s">
        <v>2698</v>
      </c>
      <c r="F433" s="11" t="s">
        <v>12</v>
      </c>
      <c r="G433" s="11">
        <v>1</v>
      </c>
    </row>
    <row r="434" customHeight="1" spans="1:7">
      <c r="A434" s="3" t="s">
        <v>2484</v>
      </c>
      <c r="B434" s="27" t="s">
        <v>1092</v>
      </c>
      <c r="C434" s="3"/>
      <c r="D434" s="10" t="s">
        <v>2736</v>
      </c>
      <c r="E434" s="10" t="s">
        <v>2737</v>
      </c>
      <c r="F434" s="11" t="s">
        <v>23</v>
      </c>
      <c r="G434" s="11">
        <v>1</v>
      </c>
    </row>
    <row r="435" customHeight="1" spans="1:7">
      <c r="A435" s="3" t="s">
        <v>2496</v>
      </c>
      <c r="B435" s="27" t="s">
        <v>1092</v>
      </c>
      <c r="C435" s="3"/>
      <c r="D435" s="10" t="s">
        <v>2558</v>
      </c>
      <c r="E435" s="10" t="s">
        <v>2640</v>
      </c>
      <c r="F435" s="11" t="s">
        <v>12</v>
      </c>
      <c r="G435" s="11">
        <v>3</v>
      </c>
    </row>
    <row r="436" customHeight="1" spans="1:7">
      <c r="A436" s="3" t="s">
        <v>2511</v>
      </c>
      <c r="B436" s="27" t="s">
        <v>1092</v>
      </c>
      <c r="C436" s="3"/>
      <c r="D436" s="10" t="s">
        <v>2558</v>
      </c>
      <c r="E436" s="10" t="s">
        <v>2640</v>
      </c>
      <c r="F436" s="11" t="s">
        <v>12</v>
      </c>
      <c r="G436" s="11">
        <v>2</v>
      </c>
    </row>
    <row r="437" customHeight="1" spans="1:7">
      <c r="A437" s="3" t="s">
        <v>2514</v>
      </c>
      <c r="B437" s="27" t="s">
        <v>1092</v>
      </c>
      <c r="C437" s="3"/>
      <c r="D437" s="10" t="s">
        <v>2558</v>
      </c>
      <c r="E437" s="10" t="s">
        <v>2640</v>
      </c>
      <c r="F437" s="11" t="s">
        <v>12</v>
      </c>
      <c r="G437" s="11">
        <v>4</v>
      </c>
    </row>
    <row r="438" customHeight="1" spans="1:7">
      <c r="A438" s="3" t="s">
        <v>2516</v>
      </c>
      <c r="B438" s="27" t="s">
        <v>1092</v>
      </c>
      <c r="C438" s="3"/>
      <c r="D438" s="10" t="s">
        <v>2617</v>
      </c>
      <c r="E438" s="10" t="s">
        <v>2686</v>
      </c>
      <c r="F438" s="11" t="s">
        <v>12</v>
      </c>
      <c r="G438" s="11">
        <v>1</v>
      </c>
    </row>
    <row r="439" customHeight="1" spans="1:7">
      <c r="A439" s="3">
        <v>1.9</v>
      </c>
      <c r="B439" s="27" t="s">
        <v>1092</v>
      </c>
      <c r="C439" s="3"/>
      <c r="D439" s="10" t="s">
        <v>2738</v>
      </c>
      <c r="E439" s="10"/>
      <c r="F439" s="11"/>
      <c r="G439" s="11"/>
    </row>
    <row r="440" customHeight="1" spans="1:7">
      <c r="A440" s="3" t="s">
        <v>2472</v>
      </c>
      <c r="B440" s="27" t="s">
        <v>1092</v>
      </c>
      <c r="C440" s="3"/>
      <c r="D440" s="10" t="s">
        <v>2641</v>
      </c>
      <c r="E440" s="10" t="s">
        <v>2739</v>
      </c>
      <c r="F440" s="11" t="s">
        <v>12</v>
      </c>
      <c r="G440" s="11">
        <v>1</v>
      </c>
    </row>
    <row r="441" customHeight="1" spans="1:7">
      <c r="A441" s="3" t="s">
        <v>2475</v>
      </c>
      <c r="B441" s="27" t="s">
        <v>1092</v>
      </c>
      <c r="C441" s="3"/>
      <c r="D441" s="10" t="s">
        <v>2644</v>
      </c>
      <c r="E441" s="10" t="s">
        <v>2698</v>
      </c>
      <c r="F441" s="11" t="s">
        <v>12</v>
      </c>
      <c r="G441" s="11">
        <v>1</v>
      </c>
    </row>
    <row r="442" customHeight="1" spans="1:7">
      <c r="A442" s="3" t="s">
        <v>2476</v>
      </c>
      <c r="B442" s="27" t="s">
        <v>1092</v>
      </c>
      <c r="C442" s="3"/>
      <c r="D442" s="10" t="s">
        <v>2740</v>
      </c>
      <c r="E442" s="10" t="s">
        <v>2741</v>
      </c>
      <c r="F442" s="11" t="s">
        <v>12</v>
      </c>
      <c r="G442" s="11">
        <v>1</v>
      </c>
    </row>
    <row r="443" customHeight="1" spans="1:7">
      <c r="A443" s="3" t="s">
        <v>2479</v>
      </c>
      <c r="B443" s="27" t="s">
        <v>1092</v>
      </c>
      <c r="C443" s="3"/>
      <c r="D443" s="10" t="s">
        <v>2346</v>
      </c>
      <c r="E443" s="10" t="s">
        <v>2697</v>
      </c>
      <c r="F443" s="11" t="s">
        <v>12</v>
      </c>
      <c r="G443" s="11">
        <v>2</v>
      </c>
    </row>
    <row r="444" customHeight="1" spans="1:7">
      <c r="A444" s="3" t="s">
        <v>2482</v>
      </c>
      <c r="B444" s="27" t="s">
        <v>1092</v>
      </c>
      <c r="C444" s="3"/>
      <c r="D444" s="10" t="s">
        <v>2504</v>
      </c>
      <c r="E444" s="10" t="s">
        <v>2505</v>
      </c>
      <c r="F444" s="11" t="s">
        <v>26</v>
      </c>
      <c r="G444" s="11">
        <v>2</v>
      </c>
    </row>
    <row r="445" customHeight="1" spans="1:7">
      <c r="A445" s="3" t="s">
        <v>2484</v>
      </c>
      <c r="B445" s="27" t="s">
        <v>1092</v>
      </c>
      <c r="C445" s="3"/>
      <c r="D445" s="10" t="s">
        <v>2565</v>
      </c>
      <c r="E445" s="10" t="s">
        <v>2717</v>
      </c>
      <c r="F445" s="11" t="s">
        <v>2351</v>
      </c>
      <c r="G445" s="11">
        <v>2</v>
      </c>
    </row>
    <row r="446" customHeight="1" spans="1:7">
      <c r="A446" s="3" t="s">
        <v>2496</v>
      </c>
      <c r="B446" s="27" t="s">
        <v>1092</v>
      </c>
      <c r="C446" s="3"/>
      <c r="D446" s="10" t="s">
        <v>2617</v>
      </c>
      <c r="E446" s="10" t="s">
        <v>2686</v>
      </c>
      <c r="F446" s="11" t="s">
        <v>12</v>
      </c>
      <c r="G446" s="11">
        <v>2</v>
      </c>
    </row>
    <row r="447" customHeight="1" spans="1:7">
      <c r="A447" s="3"/>
      <c r="B447" s="3"/>
      <c r="C447" s="3"/>
      <c r="D447" s="10"/>
      <c r="E447" s="10"/>
      <c r="F447" s="11"/>
      <c r="G447" s="31"/>
    </row>
    <row r="448" s="1" customFormat="1" customHeight="1" spans="1:7">
      <c r="A448" s="12"/>
      <c r="B448" s="12"/>
      <c r="C448" s="12"/>
      <c r="D448" s="13" t="s">
        <v>34</v>
      </c>
      <c r="E448" s="13"/>
      <c r="F448" s="14"/>
      <c r="G448" s="32"/>
    </row>
    <row r="449" customHeight="1" spans="1:7">
      <c r="A449" s="3" t="s">
        <v>1232</v>
      </c>
      <c r="B449" s="27" t="s">
        <v>2742</v>
      </c>
      <c r="C449" s="3"/>
      <c r="D449" s="10" t="s">
        <v>2743</v>
      </c>
      <c r="E449" s="10"/>
      <c r="F449" s="11"/>
      <c r="G449" s="11"/>
    </row>
    <row r="450" customHeight="1" spans="1:7">
      <c r="A450" s="3" t="s">
        <v>2472</v>
      </c>
      <c r="B450" s="27" t="s">
        <v>2742</v>
      </c>
      <c r="C450" s="3"/>
      <c r="D450" s="10" t="s">
        <v>2744</v>
      </c>
      <c r="E450" s="10" t="s">
        <v>2745</v>
      </c>
      <c r="F450" s="11" t="s">
        <v>23</v>
      </c>
      <c r="G450" s="33">
        <v>2</v>
      </c>
    </row>
    <row r="451" customHeight="1" spans="1:7">
      <c r="A451" s="3" t="s">
        <v>2475</v>
      </c>
      <c r="B451" s="27" t="s">
        <v>2742</v>
      </c>
      <c r="C451" s="3"/>
      <c r="D451" s="10" t="s">
        <v>2565</v>
      </c>
      <c r="E451" s="10" t="s">
        <v>2717</v>
      </c>
      <c r="F451" s="11" t="s">
        <v>2351</v>
      </c>
      <c r="G451" s="11">
        <v>6</v>
      </c>
    </row>
    <row r="452" ht="36" spans="1:7">
      <c r="A452" s="3" t="s">
        <v>2476</v>
      </c>
      <c r="B452" s="27" t="s">
        <v>2742</v>
      </c>
      <c r="C452" s="3"/>
      <c r="D452" s="10" t="s">
        <v>2736</v>
      </c>
      <c r="E452" s="10" t="s">
        <v>2746</v>
      </c>
      <c r="F452" s="11" t="s">
        <v>23</v>
      </c>
      <c r="G452" s="11">
        <v>0</v>
      </c>
    </row>
    <row r="453" customHeight="1" spans="1:7">
      <c r="A453" s="3" t="s">
        <v>2479</v>
      </c>
      <c r="B453" s="27" t="s">
        <v>2742</v>
      </c>
      <c r="C453" s="3"/>
      <c r="D453" s="10" t="s">
        <v>2480</v>
      </c>
      <c r="E453" s="10" t="s">
        <v>2481</v>
      </c>
      <c r="F453" s="11" t="s">
        <v>26</v>
      </c>
      <c r="G453" s="11">
        <v>148</v>
      </c>
    </row>
    <row r="454" customHeight="1" spans="1:7">
      <c r="A454" s="3" t="s">
        <v>2482</v>
      </c>
      <c r="B454" s="27" t="s">
        <v>2742</v>
      </c>
      <c r="C454" s="3"/>
      <c r="D454" s="10" t="s">
        <v>2548</v>
      </c>
      <c r="E454" s="10" t="s">
        <v>2481</v>
      </c>
      <c r="F454" s="11" t="s">
        <v>26</v>
      </c>
      <c r="G454" s="11">
        <v>20</v>
      </c>
    </row>
    <row r="455" customHeight="1" spans="1:7">
      <c r="A455" s="3" t="s">
        <v>2484</v>
      </c>
      <c r="B455" s="27" t="s">
        <v>2742</v>
      </c>
      <c r="C455" s="3"/>
      <c r="D455" s="10" t="s">
        <v>2483</v>
      </c>
      <c r="E455" s="10" t="s">
        <v>2481</v>
      </c>
      <c r="F455" s="11" t="s">
        <v>26</v>
      </c>
      <c r="G455" s="11">
        <v>26</v>
      </c>
    </row>
    <row r="456" customHeight="1" spans="1:7">
      <c r="A456" s="3" t="s">
        <v>2496</v>
      </c>
      <c r="B456" s="27" t="s">
        <v>2742</v>
      </c>
      <c r="C456" s="3"/>
      <c r="D456" s="10" t="s">
        <v>2551</v>
      </c>
      <c r="E456" s="10" t="s">
        <v>2636</v>
      </c>
      <c r="F456" s="11" t="s">
        <v>26</v>
      </c>
      <c r="G456" s="11">
        <v>118</v>
      </c>
    </row>
    <row r="457" customHeight="1" spans="1:7">
      <c r="A457" s="3" t="s">
        <v>2511</v>
      </c>
      <c r="B457" s="27" t="s">
        <v>2742</v>
      </c>
      <c r="C457" s="3"/>
      <c r="D457" s="10" t="s">
        <v>2485</v>
      </c>
      <c r="E457" s="10" t="s">
        <v>2486</v>
      </c>
      <c r="F457" s="11" t="s">
        <v>26</v>
      </c>
      <c r="G457" s="11">
        <v>11</v>
      </c>
    </row>
    <row r="458" customHeight="1" spans="1:7">
      <c r="A458" s="3" t="s">
        <v>2514</v>
      </c>
      <c r="B458" s="27" t="s">
        <v>2742</v>
      </c>
      <c r="C458" s="3"/>
      <c r="D458" s="10" t="s">
        <v>2615</v>
      </c>
      <c r="E458" s="10" t="s">
        <v>2747</v>
      </c>
      <c r="F458" s="11" t="s">
        <v>12</v>
      </c>
      <c r="G458" s="11">
        <v>1</v>
      </c>
    </row>
    <row r="459" customHeight="1" spans="1:7">
      <c r="A459" s="3" t="s">
        <v>2516</v>
      </c>
      <c r="B459" s="27" t="s">
        <v>2742</v>
      </c>
      <c r="C459" s="3"/>
      <c r="D459" s="10" t="s">
        <v>2617</v>
      </c>
      <c r="E459" s="10" t="s">
        <v>2748</v>
      </c>
      <c r="F459" s="11" t="s">
        <v>12</v>
      </c>
      <c r="G459" s="11">
        <v>7</v>
      </c>
    </row>
    <row r="460" customHeight="1" spans="1:7">
      <c r="A460" s="3">
        <v>2</v>
      </c>
      <c r="B460" s="27" t="s">
        <v>2742</v>
      </c>
      <c r="C460" s="3"/>
      <c r="D460" s="10" t="s">
        <v>2487</v>
      </c>
      <c r="E460" s="10"/>
      <c r="F460" s="11"/>
      <c r="G460" s="11"/>
    </row>
    <row r="461" customHeight="1" spans="1:7">
      <c r="A461" s="3" t="s">
        <v>2472</v>
      </c>
      <c r="B461" s="27" t="s">
        <v>2742</v>
      </c>
      <c r="C461" s="3" t="s">
        <v>1847</v>
      </c>
      <c r="D461" s="10" t="s">
        <v>2488</v>
      </c>
      <c r="E461" s="10" t="s">
        <v>2489</v>
      </c>
      <c r="F461" s="11" t="s">
        <v>1462</v>
      </c>
      <c r="G461" s="11">
        <v>23550</v>
      </c>
    </row>
    <row r="462" customHeight="1" spans="1:7">
      <c r="A462" s="3" t="s">
        <v>2475</v>
      </c>
      <c r="B462" s="27" t="s">
        <v>2742</v>
      </c>
      <c r="C462" s="3" t="s">
        <v>1847</v>
      </c>
      <c r="D462" s="10" t="s">
        <v>2488</v>
      </c>
      <c r="E462" s="10" t="s">
        <v>2554</v>
      </c>
      <c r="F462" s="11" t="s">
        <v>1462</v>
      </c>
      <c r="G462" s="11">
        <v>2400</v>
      </c>
    </row>
    <row r="463" customHeight="1" spans="1:7">
      <c r="A463" s="3" t="s">
        <v>2476</v>
      </c>
      <c r="B463" s="27" t="s">
        <v>2742</v>
      </c>
      <c r="C463" s="3" t="s">
        <v>1843</v>
      </c>
      <c r="D463" s="10" t="s">
        <v>2490</v>
      </c>
      <c r="E463" s="10" t="s">
        <v>2491</v>
      </c>
      <c r="F463" s="11" t="s">
        <v>1462</v>
      </c>
      <c r="G463" s="11">
        <v>7350</v>
      </c>
    </row>
    <row r="464" customHeight="1" spans="1:7">
      <c r="A464" s="3" t="s">
        <v>2479</v>
      </c>
      <c r="B464" s="27" t="s">
        <v>2742</v>
      </c>
      <c r="C464" s="3" t="s">
        <v>831</v>
      </c>
      <c r="D464" s="10" t="s">
        <v>831</v>
      </c>
      <c r="E464" s="10" t="s">
        <v>2327</v>
      </c>
      <c r="F464" s="11" t="s">
        <v>1462</v>
      </c>
      <c r="G464" s="11">
        <v>2220</v>
      </c>
    </row>
    <row r="465" customHeight="1" spans="1:7">
      <c r="A465" s="3" t="s">
        <v>2482</v>
      </c>
      <c r="B465" s="27" t="s">
        <v>2742</v>
      </c>
      <c r="C465" s="3" t="s">
        <v>1754</v>
      </c>
      <c r="D465" s="10" t="s">
        <v>2749</v>
      </c>
      <c r="E465" s="10" t="s">
        <v>2327</v>
      </c>
      <c r="F465" s="11" t="s">
        <v>1462</v>
      </c>
      <c r="G465" s="11">
        <v>222</v>
      </c>
    </row>
    <row r="466" customHeight="1" spans="1:7">
      <c r="A466" s="3" t="s">
        <v>2484</v>
      </c>
      <c r="B466" s="27" t="s">
        <v>2742</v>
      </c>
      <c r="C466" s="3"/>
      <c r="D466" s="10" t="s">
        <v>2750</v>
      </c>
      <c r="E466" s="10" t="s">
        <v>2327</v>
      </c>
      <c r="F466" s="11" t="s">
        <v>26</v>
      </c>
      <c r="G466" s="11">
        <v>222</v>
      </c>
    </row>
    <row r="467" customHeight="1" spans="1:7">
      <c r="A467" s="3" t="s">
        <v>2496</v>
      </c>
      <c r="B467" s="27" t="s">
        <v>2742</v>
      </c>
      <c r="C467" s="3" t="s">
        <v>865</v>
      </c>
      <c r="D467" s="10" t="s">
        <v>2493</v>
      </c>
      <c r="E467" s="10" t="s">
        <v>2494</v>
      </c>
      <c r="F467" s="11" t="s">
        <v>1462</v>
      </c>
      <c r="G467" s="11">
        <v>340</v>
      </c>
    </row>
    <row r="468" customHeight="1" spans="1:7">
      <c r="A468" s="3" t="s">
        <v>2511</v>
      </c>
      <c r="B468" s="27" t="s">
        <v>2742</v>
      </c>
      <c r="C468" s="3" t="s">
        <v>824</v>
      </c>
      <c r="D468" s="10" t="s">
        <v>824</v>
      </c>
      <c r="E468" s="10" t="s">
        <v>2555</v>
      </c>
      <c r="F468" s="11" t="s">
        <v>1462</v>
      </c>
      <c r="G468" s="11">
        <v>310</v>
      </c>
    </row>
    <row r="469" customHeight="1" spans="1:7">
      <c r="A469" s="3" t="s">
        <v>2514</v>
      </c>
      <c r="B469" s="27" t="s">
        <v>2742</v>
      </c>
      <c r="C469" s="3" t="s">
        <v>824</v>
      </c>
      <c r="D469" s="10" t="s">
        <v>824</v>
      </c>
      <c r="E469" s="10" t="s">
        <v>2558</v>
      </c>
      <c r="F469" s="11" t="s">
        <v>1462</v>
      </c>
      <c r="G469" s="11">
        <v>60</v>
      </c>
    </row>
    <row r="470" customHeight="1" spans="1:7">
      <c r="A470" s="3" t="s">
        <v>2516</v>
      </c>
      <c r="B470" s="27" t="s">
        <v>2742</v>
      </c>
      <c r="C470" s="3" t="s">
        <v>681</v>
      </c>
      <c r="D470" s="10" t="s">
        <v>681</v>
      </c>
      <c r="E470" s="10" t="s">
        <v>2495</v>
      </c>
      <c r="F470" s="11" t="s">
        <v>1462</v>
      </c>
      <c r="G470" s="11">
        <v>55</v>
      </c>
    </row>
    <row r="471" customHeight="1" spans="1:7">
      <c r="A471" s="3" t="s">
        <v>2518</v>
      </c>
      <c r="B471" s="27" t="s">
        <v>2742</v>
      </c>
      <c r="C471" s="3"/>
      <c r="D471" s="10" t="s">
        <v>2497</v>
      </c>
      <c r="E471" s="10" t="s">
        <v>2498</v>
      </c>
      <c r="F471" s="11" t="s">
        <v>1462</v>
      </c>
      <c r="G471" s="11">
        <v>11</v>
      </c>
    </row>
    <row r="472" customHeight="1" spans="1:7">
      <c r="A472" s="3" t="s">
        <v>2520</v>
      </c>
      <c r="B472" s="27" t="s">
        <v>2742</v>
      </c>
      <c r="C472" s="3" t="s">
        <v>1970</v>
      </c>
      <c r="D472" s="10" t="s">
        <v>2314</v>
      </c>
      <c r="E472" s="10" t="s">
        <v>2751</v>
      </c>
      <c r="F472" s="11" t="s">
        <v>2752</v>
      </c>
      <c r="G472" s="11">
        <v>60</v>
      </c>
    </row>
    <row r="473" ht="31" customHeight="1" spans="1:7">
      <c r="A473" s="3" t="s">
        <v>2523</v>
      </c>
      <c r="B473" s="27" t="s">
        <v>2742</v>
      </c>
      <c r="C473" s="3"/>
      <c r="D473" s="10" t="s">
        <v>2621</v>
      </c>
      <c r="E473" s="10" t="s">
        <v>2753</v>
      </c>
      <c r="F473" s="11" t="s">
        <v>1462</v>
      </c>
      <c r="G473" s="11">
        <v>45</v>
      </c>
    </row>
    <row r="474" customHeight="1" spans="1:7">
      <c r="A474" s="3"/>
      <c r="B474" s="3"/>
      <c r="C474" s="3"/>
      <c r="D474" s="10"/>
      <c r="E474" s="10"/>
      <c r="F474" s="11"/>
      <c r="G474" s="31"/>
    </row>
    <row r="475" s="1" customFormat="1" customHeight="1" spans="1:7">
      <c r="A475" s="12"/>
      <c r="B475" s="12"/>
      <c r="C475" s="12"/>
      <c r="D475" s="13" t="s">
        <v>34</v>
      </c>
      <c r="E475" s="13"/>
      <c r="F475" s="14"/>
      <c r="G475" s="32"/>
    </row>
    <row r="476" customHeight="1" spans="1:7">
      <c r="A476" s="3" t="s">
        <v>1385</v>
      </c>
      <c r="B476" s="3"/>
      <c r="C476" s="3"/>
      <c r="D476" s="10" t="s">
        <v>2754</v>
      </c>
      <c r="E476" s="10"/>
      <c r="F476" s="11"/>
      <c r="G476" s="11"/>
    </row>
    <row r="477" customHeight="1" spans="1:7">
      <c r="A477" s="3">
        <v>1</v>
      </c>
      <c r="B477" s="3"/>
      <c r="C477" s="3"/>
      <c r="D477" s="10" t="s">
        <v>2471</v>
      </c>
      <c r="E477" s="10"/>
      <c r="F477" s="11"/>
      <c r="G477" s="11"/>
    </row>
    <row r="478" customHeight="1" spans="1:7">
      <c r="A478" s="3">
        <v>1.1</v>
      </c>
      <c r="B478" s="3"/>
      <c r="C478" s="3"/>
      <c r="D478" s="10" t="s">
        <v>2755</v>
      </c>
      <c r="E478" s="10"/>
      <c r="F478" s="11"/>
      <c r="G478" s="11"/>
    </row>
    <row r="479" customHeight="1" spans="1:7">
      <c r="A479" s="3" t="s">
        <v>2472</v>
      </c>
      <c r="B479" s="3">
        <v>2152</v>
      </c>
      <c r="C479" s="3"/>
      <c r="D479" s="10" t="s">
        <v>2565</v>
      </c>
      <c r="E479" s="10" t="s">
        <v>2566</v>
      </c>
      <c r="F479" s="11" t="s">
        <v>2351</v>
      </c>
      <c r="G479" s="11">
        <v>6</v>
      </c>
    </row>
    <row r="480" customHeight="1" spans="1:7">
      <c r="A480" s="3" t="s">
        <v>2475</v>
      </c>
      <c r="B480" s="3">
        <v>2152</v>
      </c>
      <c r="C480" s="3"/>
      <c r="D480" s="10" t="s">
        <v>2346</v>
      </c>
      <c r="E480" s="10" t="s">
        <v>2506</v>
      </c>
      <c r="F480" s="11" t="s">
        <v>12</v>
      </c>
      <c r="G480" s="11">
        <v>8</v>
      </c>
    </row>
    <row r="481" customHeight="1" spans="1:7">
      <c r="A481" s="3" t="s">
        <v>2476</v>
      </c>
      <c r="B481" s="3">
        <v>2152</v>
      </c>
      <c r="C481" s="3"/>
      <c r="D481" s="10" t="s">
        <v>2558</v>
      </c>
      <c r="E481" s="10" t="s">
        <v>2640</v>
      </c>
      <c r="F481" s="11" t="s">
        <v>12</v>
      </c>
      <c r="G481" s="11">
        <v>2</v>
      </c>
    </row>
    <row r="482" customHeight="1" spans="1:7">
      <c r="A482" s="3" t="s">
        <v>2479</v>
      </c>
      <c r="B482" s="3">
        <v>2152</v>
      </c>
      <c r="C482" s="3"/>
      <c r="D482" s="10" t="s">
        <v>2558</v>
      </c>
      <c r="E482" s="10" t="s">
        <v>2640</v>
      </c>
      <c r="F482" s="11" t="s">
        <v>12</v>
      </c>
      <c r="G482" s="11">
        <v>2</v>
      </c>
    </row>
    <row r="483" customHeight="1" spans="1:7">
      <c r="A483" s="3" t="s">
        <v>2482</v>
      </c>
      <c r="B483" s="3">
        <v>2152</v>
      </c>
      <c r="C483" s="3"/>
      <c r="D483" s="10" t="s">
        <v>2352</v>
      </c>
      <c r="E483" s="10" t="s">
        <v>2646</v>
      </c>
      <c r="F483" s="11" t="s">
        <v>26</v>
      </c>
      <c r="G483" s="11">
        <v>1</v>
      </c>
    </row>
    <row r="484" customHeight="1" spans="1:7">
      <c r="A484" s="3" t="s">
        <v>2484</v>
      </c>
      <c r="B484" s="3">
        <v>2152</v>
      </c>
      <c r="C484" s="3"/>
      <c r="D484" s="10" t="s">
        <v>2650</v>
      </c>
      <c r="E484" s="10" t="s">
        <v>2756</v>
      </c>
      <c r="F484" s="11" t="s">
        <v>12</v>
      </c>
      <c r="G484" s="11">
        <v>1</v>
      </c>
    </row>
    <row r="485" customHeight="1" spans="1:7">
      <c r="A485" s="3" t="s">
        <v>2496</v>
      </c>
      <c r="B485" s="3">
        <v>2152</v>
      </c>
      <c r="C485" s="3"/>
      <c r="D485" s="10" t="s">
        <v>2650</v>
      </c>
      <c r="E485" s="10" t="s">
        <v>2757</v>
      </c>
      <c r="F485" s="11" t="s">
        <v>12</v>
      </c>
      <c r="G485" s="11">
        <v>1</v>
      </c>
    </row>
    <row r="486" customHeight="1" spans="1:7">
      <c r="A486" s="3" t="s">
        <v>2511</v>
      </c>
      <c r="B486" s="3">
        <v>2152</v>
      </c>
      <c r="C486" s="3"/>
      <c r="D486" s="10" t="s">
        <v>2644</v>
      </c>
      <c r="E486" s="10" t="s">
        <v>2645</v>
      </c>
      <c r="F486" s="11" t="s">
        <v>12</v>
      </c>
      <c r="G486" s="11">
        <v>2</v>
      </c>
    </row>
    <row r="487" customHeight="1" spans="1:7">
      <c r="A487" s="3" t="s">
        <v>2514</v>
      </c>
      <c r="B487" s="3">
        <v>2152</v>
      </c>
      <c r="C487" s="3"/>
      <c r="D487" s="10" t="s">
        <v>2508</v>
      </c>
      <c r="E487" s="10" t="s">
        <v>2758</v>
      </c>
      <c r="F487" s="11" t="s">
        <v>12</v>
      </c>
      <c r="G487" s="11">
        <v>1</v>
      </c>
    </row>
    <row r="488" customHeight="1" spans="1:7">
      <c r="A488" s="3" t="s">
        <v>2516</v>
      </c>
      <c r="B488" s="3">
        <v>2152</v>
      </c>
      <c r="C488" s="3"/>
      <c r="D488" s="10" t="s">
        <v>2617</v>
      </c>
      <c r="E488" s="10" t="s">
        <v>2686</v>
      </c>
      <c r="F488" s="11" t="s">
        <v>12</v>
      </c>
      <c r="G488" s="11">
        <v>8</v>
      </c>
    </row>
    <row r="489" customHeight="1" spans="1:7">
      <c r="A489" s="3" t="s">
        <v>2518</v>
      </c>
      <c r="B489" s="3">
        <v>2152</v>
      </c>
      <c r="C489" s="3"/>
      <c r="D489" s="10" t="s">
        <v>2617</v>
      </c>
      <c r="E489" s="10" t="s">
        <v>2618</v>
      </c>
      <c r="F489" s="11" t="s">
        <v>12</v>
      </c>
      <c r="G489" s="11">
        <v>10</v>
      </c>
    </row>
    <row r="490" customHeight="1" spans="1:7">
      <c r="A490" s="3"/>
      <c r="B490" s="3"/>
      <c r="C490" s="3"/>
      <c r="D490" s="10"/>
      <c r="E490" s="10"/>
      <c r="F490" s="11"/>
      <c r="G490" s="31"/>
    </row>
    <row r="491" s="1" customFormat="1" customHeight="1" spans="1:7">
      <c r="A491" s="12"/>
      <c r="B491" s="12"/>
      <c r="C491" s="12"/>
      <c r="D491" s="13" t="s">
        <v>34</v>
      </c>
      <c r="E491" s="13"/>
      <c r="F491" s="14"/>
      <c r="G491" s="32"/>
    </row>
    <row r="492" customHeight="1" spans="1:7">
      <c r="A492" s="3">
        <v>1.2</v>
      </c>
      <c r="B492" s="3">
        <v>2152</v>
      </c>
      <c r="C492" s="3"/>
      <c r="D492" s="10" t="s">
        <v>2759</v>
      </c>
      <c r="E492" s="10"/>
      <c r="F492" s="11"/>
      <c r="G492" s="11"/>
    </row>
    <row r="493" customHeight="1" spans="1:7">
      <c r="A493" s="3" t="s">
        <v>2472</v>
      </c>
      <c r="B493" s="3">
        <v>2152</v>
      </c>
      <c r="C493" s="3"/>
      <c r="D493" s="10" t="s">
        <v>2760</v>
      </c>
      <c r="E493" s="10" t="s">
        <v>2761</v>
      </c>
      <c r="F493" s="11" t="s">
        <v>12</v>
      </c>
      <c r="G493" s="11">
        <v>1</v>
      </c>
    </row>
    <row r="494" customHeight="1" spans="1:7">
      <c r="A494" s="3" t="s">
        <v>2475</v>
      </c>
      <c r="B494" s="3">
        <v>2152</v>
      </c>
      <c r="C494" s="3"/>
      <c r="D494" s="10" t="s">
        <v>2644</v>
      </c>
      <c r="E494" s="10" t="s">
        <v>2645</v>
      </c>
      <c r="F494" s="11" t="s">
        <v>12</v>
      </c>
      <c r="G494" s="11">
        <v>1</v>
      </c>
    </row>
    <row r="495" customHeight="1" spans="1:7">
      <c r="A495" s="3" t="s">
        <v>2476</v>
      </c>
      <c r="B495" s="3">
        <v>2152</v>
      </c>
      <c r="C495" s="3"/>
      <c r="D495" s="10" t="s">
        <v>2346</v>
      </c>
      <c r="E495" s="10" t="s">
        <v>2506</v>
      </c>
      <c r="F495" s="11" t="s">
        <v>12</v>
      </c>
      <c r="G495" s="11">
        <v>2</v>
      </c>
    </row>
    <row r="496" customHeight="1" spans="1:7">
      <c r="A496" s="3" t="s">
        <v>2479</v>
      </c>
      <c r="B496" s="3">
        <v>2152</v>
      </c>
      <c r="C496" s="3"/>
      <c r="D496" s="10" t="s">
        <v>2565</v>
      </c>
      <c r="E496" s="10" t="s">
        <v>2566</v>
      </c>
      <c r="F496" s="11" t="s">
        <v>2351</v>
      </c>
      <c r="G496" s="11">
        <v>2</v>
      </c>
    </row>
    <row r="497" customHeight="1" spans="1:7">
      <c r="A497" s="3" t="s">
        <v>2482</v>
      </c>
      <c r="B497" s="3">
        <v>2152</v>
      </c>
      <c r="C497" s="3"/>
      <c r="D497" s="10" t="s">
        <v>2480</v>
      </c>
      <c r="E497" s="10" t="s">
        <v>2481</v>
      </c>
      <c r="F497" s="11" t="s">
        <v>26</v>
      </c>
      <c r="G497" s="11">
        <v>27</v>
      </c>
    </row>
    <row r="498" customHeight="1" spans="1:7">
      <c r="A498" s="3" t="s">
        <v>2484</v>
      </c>
      <c r="B498" s="3">
        <v>2152</v>
      </c>
      <c r="C498" s="3"/>
      <c r="D498" s="10" t="s">
        <v>2483</v>
      </c>
      <c r="E498" s="10" t="s">
        <v>2481</v>
      </c>
      <c r="F498" s="11" t="s">
        <v>26</v>
      </c>
      <c r="G498" s="11">
        <v>5</v>
      </c>
    </row>
    <row r="499" customHeight="1" spans="1:7">
      <c r="A499" s="3" t="s">
        <v>2496</v>
      </c>
      <c r="B499" s="3">
        <v>2152</v>
      </c>
      <c r="C499" s="3"/>
      <c r="D499" s="10" t="s">
        <v>2551</v>
      </c>
      <c r="E499" s="10" t="s">
        <v>2614</v>
      </c>
      <c r="F499" s="11" t="s">
        <v>26</v>
      </c>
      <c r="G499" s="11">
        <v>42</v>
      </c>
    </row>
    <row r="500" customHeight="1" spans="1:7">
      <c r="A500" s="3" t="s">
        <v>2511</v>
      </c>
      <c r="B500" s="3">
        <v>2152</v>
      </c>
      <c r="C500" s="3"/>
      <c r="D500" s="10" t="s">
        <v>2485</v>
      </c>
      <c r="E500" s="10" t="s">
        <v>2486</v>
      </c>
      <c r="F500" s="11" t="s">
        <v>26</v>
      </c>
      <c r="G500" s="11">
        <v>1</v>
      </c>
    </row>
    <row r="501" customHeight="1" spans="1:7">
      <c r="A501" s="3" t="s">
        <v>2514</v>
      </c>
      <c r="B501" s="3">
        <v>2152</v>
      </c>
      <c r="C501" s="3"/>
      <c r="D501" s="10" t="s">
        <v>2615</v>
      </c>
      <c r="E501" s="10" t="s">
        <v>2747</v>
      </c>
      <c r="F501" s="11" t="s">
        <v>12</v>
      </c>
      <c r="G501" s="11">
        <v>1</v>
      </c>
    </row>
    <row r="502" customHeight="1" spans="1:7">
      <c r="A502" s="3">
        <v>2</v>
      </c>
      <c r="B502" s="3">
        <v>2152</v>
      </c>
      <c r="C502" s="3"/>
      <c r="D502" s="10" t="s">
        <v>2487</v>
      </c>
      <c r="E502" s="10"/>
      <c r="F502" s="11"/>
      <c r="G502" s="11"/>
    </row>
    <row r="503" customHeight="1" spans="1:7">
      <c r="A503" s="3" t="s">
        <v>2472</v>
      </c>
      <c r="B503" s="3">
        <v>2152</v>
      </c>
      <c r="C503" s="3" t="s">
        <v>1847</v>
      </c>
      <c r="D503" s="10" t="s">
        <v>2488</v>
      </c>
      <c r="E503" s="10" t="s">
        <v>2489</v>
      </c>
      <c r="F503" s="11" t="s">
        <v>1462</v>
      </c>
      <c r="G503" s="11">
        <v>4050</v>
      </c>
    </row>
    <row r="504" customHeight="1" spans="1:7">
      <c r="A504" s="3" t="s">
        <v>2475</v>
      </c>
      <c r="B504" s="3">
        <v>2152</v>
      </c>
      <c r="C504" s="3" t="s">
        <v>1843</v>
      </c>
      <c r="D504" s="10" t="s">
        <v>2490</v>
      </c>
      <c r="E504" s="10" t="s">
        <v>2491</v>
      </c>
      <c r="F504" s="11" t="s">
        <v>1462</v>
      </c>
      <c r="G504" s="11">
        <v>1950</v>
      </c>
    </row>
    <row r="505" customHeight="1" spans="1:7">
      <c r="A505" s="3" t="s">
        <v>2476</v>
      </c>
      <c r="B505" s="3">
        <v>2152</v>
      </c>
      <c r="C505" s="3" t="s">
        <v>831</v>
      </c>
      <c r="D505" s="10" t="s">
        <v>831</v>
      </c>
      <c r="E505" s="10" t="s">
        <v>2327</v>
      </c>
      <c r="F505" s="11" t="s">
        <v>1462</v>
      </c>
      <c r="G505" s="11">
        <v>400</v>
      </c>
    </row>
    <row r="506" customHeight="1" spans="1:7">
      <c r="A506" s="3" t="s">
        <v>2479</v>
      </c>
      <c r="B506" s="3">
        <v>2152</v>
      </c>
      <c r="C506" s="3" t="s">
        <v>1754</v>
      </c>
      <c r="D506" s="10" t="s">
        <v>2492</v>
      </c>
      <c r="E506" s="10" t="s">
        <v>2327</v>
      </c>
      <c r="F506" s="11" t="s">
        <v>23</v>
      </c>
      <c r="G506" s="11">
        <v>40</v>
      </c>
    </row>
    <row r="507" customHeight="1" spans="1:7">
      <c r="A507" s="3" t="s">
        <v>2482</v>
      </c>
      <c r="B507" s="3">
        <v>2152</v>
      </c>
      <c r="C507" s="3" t="s">
        <v>865</v>
      </c>
      <c r="D507" s="10" t="s">
        <v>2493</v>
      </c>
      <c r="E507" s="10" t="s">
        <v>2494</v>
      </c>
      <c r="F507" s="11" t="s">
        <v>1462</v>
      </c>
      <c r="G507" s="11">
        <v>135</v>
      </c>
    </row>
    <row r="508" customHeight="1" spans="1:7">
      <c r="A508" s="3" t="s">
        <v>2484</v>
      </c>
      <c r="B508" s="3">
        <v>2152</v>
      </c>
      <c r="C508" s="3" t="s">
        <v>865</v>
      </c>
      <c r="D508" s="10" t="s">
        <v>2619</v>
      </c>
      <c r="E508" s="10" t="s">
        <v>2620</v>
      </c>
      <c r="F508" s="11" t="s">
        <v>1462</v>
      </c>
      <c r="G508" s="11">
        <v>30</v>
      </c>
    </row>
    <row r="509" customHeight="1" spans="1:7">
      <c r="A509" s="3" t="s">
        <v>2496</v>
      </c>
      <c r="B509" s="3">
        <v>2152</v>
      </c>
      <c r="C509" s="3" t="s">
        <v>865</v>
      </c>
      <c r="D509" s="10" t="s">
        <v>2556</v>
      </c>
      <c r="E509" s="10" t="s">
        <v>2557</v>
      </c>
      <c r="F509" s="11" t="s">
        <v>2558</v>
      </c>
      <c r="G509" s="11">
        <v>42</v>
      </c>
    </row>
    <row r="510" customHeight="1" spans="1:7">
      <c r="A510" s="3" t="s">
        <v>2511</v>
      </c>
      <c r="B510" s="3">
        <v>2152</v>
      </c>
      <c r="C510" s="3" t="s">
        <v>824</v>
      </c>
      <c r="D510" s="10" t="s">
        <v>824</v>
      </c>
      <c r="E510" s="10" t="s">
        <v>2555</v>
      </c>
      <c r="F510" s="11" t="s">
        <v>1462</v>
      </c>
      <c r="G510" s="11">
        <v>160</v>
      </c>
    </row>
    <row r="511" customHeight="1" spans="1:7">
      <c r="A511" s="3" t="s">
        <v>2514</v>
      </c>
      <c r="B511" s="3">
        <v>2152</v>
      </c>
      <c r="C511" s="3" t="s">
        <v>681</v>
      </c>
      <c r="D511" s="10" t="s">
        <v>681</v>
      </c>
      <c r="E511" s="10" t="s">
        <v>2495</v>
      </c>
      <c r="F511" s="11" t="s">
        <v>1462</v>
      </c>
      <c r="G511" s="11">
        <v>5</v>
      </c>
    </row>
    <row r="512" customHeight="1" spans="1:7">
      <c r="A512" s="3" t="s">
        <v>2516</v>
      </c>
      <c r="B512" s="3">
        <v>2152</v>
      </c>
      <c r="C512" s="3"/>
      <c r="D512" s="10" t="s">
        <v>2497</v>
      </c>
      <c r="E512" s="10" t="s">
        <v>2498</v>
      </c>
      <c r="F512" s="11" t="s">
        <v>1462</v>
      </c>
      <c r="G512" s="11">
        <v>1</v>
      </c>
    </row>
    <row r="513" customHeight="1" spans="1:7">
      <c r="A513" s="3" t="s">
        <v>2518</v>
      </c>
      <c r="B513" s="3">
        <v>2152</v>
      </c>
      <c r="C513" s="3"/>
      <c r="D513" s="10" t="s">
        <v>2621</v>
      </c>
      <c r="E513" s="10" t="s">
        <v>2622</v>
      </c>
      <c r="F513" s="11" t="s">
        <v>1462</v>
      </c>
      <c r="G513" s="11">
        <v>60</v>
      </c>
    </row>
    <row r="514" customHeight="1" spans="1:7">
      <c r="A514" s="3"/>
      <c r="B514" s="3"/>
      <c r="C514" s="3"/>
      <c r="D514" s="10"/>
      <c r="E514" s="10"/>
      <c r="F514" s="11"/>
      <c r="G514" s="31"/>
    </row>
    <row r="515" s="1" customFormat="1" customHeight="1" spans="1:7">
      <c r="A515" s="12"/>
      <c r="B515" s="12"/>
      <c r="C515" s="12"/>
      <c r="D515" s="13" t="s">
        <v>34</v>
      </c>
      <c r="E515" s="13"/>
      <c r="F515" s="14"/>
      <c r="G515" s="32"/>
    </row>
    <row r="516" customHeight="1" spans="1:7">
      <c r="A516" s="3" t="s">
        <v>1732</v>
      </c>
      <c r="B516" s="3"/>
      <c r="C516" s="3"/>
      <c r="D516" s="10" t="s">
        <v>2688</v>
      </c>
      <c r="E516" s="10"/>
      <c r="F516" s="11"/>
      <c r="G516" s="11"/>
    </row>
    <row r="517" customHeight="1" spans="1:7">
      <c r="A517" s="3">
        <v>1</v>
      </c>
      <c r="B517" s="3"/>
      <c r="C517" s="3"/>
      <c r="D517" s="10" t="s">
        <v>2471</v>
      </c>
      <c r="E517" s="10"/>
      <c r="F517" s="11"/>
      <c r="G517" s="11"/>
    </row>
    <row r="518" customHeight="1" spans="1:7">
      <c r="A518" s="3">
        <v>1.1</v>
      </c>
      <c r="B518" s="3"/>
      <c r="C518" s="3"/>
      <c r="D518" s="10" t="s">
        <v>2762</v>
      </c>
      <c r="E518" s="10"/>
      <c r="F518" s="11"/>
      <c r="G518" s="11"/>
    </row>
    <row r="519" customHeight="1" spans="1:7">
      <c r="A519" s="3" t="s">
        <v>2472</v>
      </c>
      <c r="B519" s="3">
        <v>2161</v>
      </c>
      <c r="C519" s="3"/>
      <c r="D519" s="10" t="s">
        <v>2565</v>
      </c>
      <c r="E519" s="10" t="s">
        <v>2763</v>
      </c>
      <c r="F519" s="11" t="s">
        <v>2351</v>
      </c>
      <c r="G519" s="11">
        <v>2</v>
      </c>
    </row>
    <row r="520" customHeight="1" spans="1:7">
      <c r="A520" s="3" t="s">
        <v>2475</v>
      </c>
      <c r="B520" s="3">
        <v>2161</v>
      </c>
      <c r="C520" s="3"/>
      <c r="D520" s="10" t="s">
        <v>2565</v>
      </c>
      <c r="E520" s="10" t="s">
        <v>2764</v>
      </c>
      <c r="F520" s="11" t="s">
        <v>2351</v>
      </c>
      <c r="G520" s="11">
        <v>1</v>
      </c>
    </row>
    <row r="521" customHeight="1" spans="1:7">
      <c r="A521" s="3" t="s">
        <v>2476</v>
      </c>
      <c r="B521" s="3">
        <v>2161</v>
      </c>
      <c r="C521" s="3"/>
      <c r="D521" s="10" t="s">
        <v>2565</v>
      </c>
      <c r="E521" s="10" t="s">
        <v>2765</v>
      </c>
      <c r="F521" s="11" t="s">
        <v>2351</v>
      </c>
      <c r="G521" s="11">
        <v>3</v>
      </c>
    </row>
    <row r="522" customHeight="1" spans="1:7">
      <c r="A522" s="3" t="s">
        <v>2479</v>
      </c>
      <c r="B522" s="3">
        <v>2161</v>
      </c>
      <c r="C522" s="3"/>
      <c r="D522" s="10" t="s">
        <v>2346</v>
      </c>
      <c r="E522" s="10" t="s">
        <v>2697</v>
      </c>
      <c r="F522" s="11" t="s">
        <v>12</v>
      </c>
      <c r="G522" s="11">
        <v>2</v>
      </c>
    </row>
    <row r="523" customHeight="1" spans="1:7">
      <c r="A523" s="3" t="s">
        <v>2482</v>
      </c>
      <c r="B523" s="3">
        <v>2161</v>
      </c>
      <c r="C523" s="3"/>
      <c r="D523" s="10" t="s">
        <v>2346</v>
      </c>
      <c r="E523" s="10" t="s">
        <v>2766</v>
      </c>
      <c r="F523" s="11" t="s">
        <v>12</v>
      </c>
      <c r="G523" s="11">
        <v>1</v>
      </c>
    </row>
    <row r="524" customHeight="1" spans="1:7">
      <c r="A524" s="3" t="s">
        <v>2484</v>
      </c>
      <c r="B524" s="3">
        <v>2161</v>
      </c>
      <c r="C524" s="3"/>
      <c r="D524" s="10" t="s">
        <v>2346</v>
      </c>
      <c r="E524" s="10" t="s">
        <v>2506</v>
      </c>
      <c r="F524" s="11" t="s">
        <v>12</v>
      </c>
      <c r="G524" s="11">
        <v>3</v>
      </c>
    </row>
    <row r="525" customHeight="1" spans="1:7">
      <c r="A525" s="3" t="s">
        <v>2496</v>
      </c>
      <c r="B525" s="3">
        <v>2161</v>
      </c>
      <c r="C525" s="3"/>
      <c r="D525" s="10" t="s">
        <v>2740</v>
      </c>
      <c r="E525" s="10" t="s">
        <v>2767</v>
      </c>
      <c r="F525" s="11" t="s">
        <v>12</v>
      </c>
      <c r="G525" s="11">
        <v>1</v>
      </c>
    </row>
    <row r="526" customHeight="1" spans="1:7">
      <c r="A526" s="3" t="s">
        <v>2511</v>
      </c>
      <c r="B526" s="3">
        <v>2161</v>
      </c>
      <c r="C526" s="3"/>
      <c r="D526" s="10" t="s">
        <v>2760</v>
      </c>
      <c r="E526" s="10" t="s">
        <v>2768</v>
      </c>
      <c r="F526" s="11" t="s">
        <v>12</v>
      </c>
      <c r="G526" s="11">
        <v>1</v>
      </c>
    </row>
    <row r="527" customHeight="1" spans="1:7">
      <c r="A527" s="3" t="s">
        <v>2514</v>
      </c>
      <c r="B527" s="3">
        <v>2161</v>
      </c>
      <c r="C527" s="3"/>
      <c r="D527" s="10" t="s">
        <v>2760</v>
      </c>
      <c r="E527" s="10" t="s">
        <v>2769</v>
      </c>
      <c r="F527" s="11" t="s">
        <v>12</v>
      </c>
      <c r="G527" s="11">
        <v>1</v>
      </c>
    </row>
    <row r="528" customHeight="1" spans="1:7">
      <c r="A528" s="3" t="s">
        <v>2516</v>
      </c>
      <c r="B528" s="3">
        <v>2161</v>
      </c>
      <c r="C528" s="3"/>
      <c r="D528" s="10" t="s">
        <v>2760</v>
      </c>
      <c r="E528" s="10" t="s">
        <v>2770</v>
      </c>
      <c r="F528" s="11" t="s">
        <v>12</v>
      </c>
      <c r="G528" s="11">
        <v>1</v>
      </c>
    </row>
    <row r="529" customHeight="1" spans="1:7">
      <c r="A529" s="3" t="s">
        <v>2518</v>
      </c>
      <c r="B529" s="3">
        <v>2161</v>
      </c>
      <c r="C529" s="3"/>
      <c r="D529" s="10" t="s">
        <v>2760</v>
      </c>
      <c r="E529" s="10" t="s">
        <v>2771</v>
      </c>
      <c r="F529" s="11" t="s">
        <v>12</v>
      </c>
      <c r="G529" s="11">
        <v>1</v>
      </c>
    </row>
    <row r="530" customHeight="1" spans="1:7">
      <c r="A530" s="3" t="s">
        <v>2520</v>
      </c>
      <c r="B530" s="3">
        <v>2161</v>
      </c>
      <c r="C530" s="3"/>
      <c r="D530" s="10" t="s">
        <v>2760</v>
      </c>
      <c r="E530" s="10" t="s">
        <v>2772</v>
      </c>
      <c r="F530" s="11" t="s">
        <v>12</v>
      </c>
      <c r="G530" s="31">
        <v>1</v>
      </c>
    </row>
    <row r="531" customHeight="1" spans="1:7">
      <c r="A531" s="3" t="s">
        <v>2523</v>
      </c>
      <c r="B531" s="3">
        <v>2161</v>
      </c>
      <c r="C531" s="3"/>
      <c r="D531" s="10" t="s">
        <v>2644</v>
      </c>
      <c r="E531" s="10" t="s">
        <v>2773</v>
      </c>
      <c r="F531" s="11" t="s">
        <v>12</v>
      </c>
      <c r="G531" s="31">
        <v>1</v>
      </c>
    </row>
    <row r="532" customHeight="1" spans="1:7">
      <c r="A532" s="3" t="s">
        <v>2525</v>
      </c>
      <c r="B532" s="3">
        <v>2161</v>
      </c>
      <c r="C532" s="3"/>
      <c r="D532" s="10" t="s">
        <v>2644</v>
      </c>
      <c r="E532" s="10" t="s">
        <v>2774</v>
      </c>
      <c r="F532" s="11" t="s">
        <v>12</v>
      </c>
      <c r="G532" s="31">
        <v>1</v>
      </c>
    </row>
    <row r="533" customHeight="1" spans="1:7">
      <c r="A533" s="3" t="s">
        <v>2527</v>
      </c>
      <c r="B533" s="3">
        <v>2161</v>
      </c>
      <c r="C533" s="3"/>
      <c r="D533" s="10" t="s">
        <v>2644</v>
      </c>
      <c r="E533" s="10" t="s">
        <v>2645</v>
      </c>
      <c r="F533" s="11" t="s">
        <v>12</v>
      </c>
      <c r="G533" s="31">
        <v>3</v>
      </c>
    </row>
    <row r="534" customHeight="1" spans="1:7">
      <c r="A534" s="3" t="s">
        <v>2529</v>
      </c>
      <c r="B534" s="3">
        <v>2161</v>
      </c>
      <c r="C534" s="3"/>
      <c r="D534" s="10" t="s">
        <v>2508</v>
      </c>
      <c r="E534" s="10" t="s">
        <v>2775</v>
      </c>
      <c r="F534" s="11" t="s">
        <v>12</v>
      </c>
      <c r="G534" s="31">
        <v>0</v>
      </c>
    </row>
    <row r="535" customHeight="1" spans="1:7">
      <c r="A535" s="3" t="s">
        <v>2532</v>
      </c>
      <c r="B535" s="3">
        <v>2161</v>
      </c>
      <c r="C535" s="3"/>
      <c r="D535" s="10" t="s">
        <v>2617</v>
      </c>
      <c r="E535" s="10" t="s">
        <v>2686</v>
      </c>
      <c r="F535" s="11" t="s">
        <v>12</v>
      </c>
      <c r="G535" s="31">
        <v>6</v>
      </c>
    </row>
    <row r="536" customHeight="1" spans="1:7">
      <c r="A536" s="3" t="s">
        <v>2535</v>
      </c>
      <c r="B536" s="3">
        <v>2161</v>
      </c>
      <c r="C536" s="3"/>
      <c r="D536" s="10" t="s">
        <v>2776</v>
      </c>
      <c r="E536" s="10" t="s">
        <v>2777</v>
      </c>
      <c r="F536" s="11" t="s">
        <v>12</v>
      </c>
      <c r="G536" s="31">
        <v>7</v>
      </c>
    </row>
    <row r="537" customHeight="1" spans="1:7">
      <c r="A537" s="3" t="s">
        <v>2537</v>
      </c>
      <c r="B537" s="3">
        <v>2161</v>
      </c>
      <c r="C537" s="3"/>
      <c r="D537" s="10" t="s">
        <v>2778</v>
      </c>
      <c r="E537" s="10" t="s">
        <v>2779</v>
      </c>
      <c r="F537" s="11" t="s">
        <v>2348</v>
      </c>
      <c r="G537" s="31">
        <v>1</v>
      </c>
    </row>
    <row r="538" customHeight="1" spans="1:7">
      <c r="A538" s="3">
        <v>1.2</v>
      </c>
      <c r="B538" s="3">
        <v>2161</v>
      </c>
      <c r="C538" s="3"/>
      <c r="D538" s="10" t="s">
        <v>2780</v>
      </c>
      <c r="E538" s="10"/>
      <c r="F538" s="11"/>
      <c r="G538" s="31"/>
    </row>
    <row r="539" customHeight="1" spans="1:7">
      <c r="A539" s="3" t="s">
        <v>2472</v>
      </c>
      <c r="B539" s="3">
        <v>2161</v>
      </c>
      <c r="C539" s="3"/>
      <c r="D539" s="10" t="s">
        <v>2565</v>
      </c>
      <c r="E539" s="10" t="s">
        <v>2763</v>
      </c>
      <c r="F539" s="11" t="s">
        <v>2351</v>
      </c>
      <c r="G539" s="31">
        <v>3</v>
      </c>
    </row>
    <row r="540" customHeight="1" spans="1:7">
      <c r="A540" s="3" t="s">
        <v>2475</v>
      </c>
      <c r="B540" s="3">
        <v>2161</v>
      </c>
      <c r="C540" s="3"/>
      <c r="D540" s="10" t="s">
        <v>2346</v>
      </c>
      <c r="E540" s="10" t="s">
        <v>2697</v>
      </c>
      <c r="F540" s="11" t="s">
        <v>12</v>
      </c>
      <c r="G540" s="31">
        <v>4</v>
      </c>
    </row>
    <row r="541" customHeight="1" spans="1:7">
      <c r="A541" s="3" t="s">
        <v>2476</v>
      </c>
      <c r="B541" s="3">
        <v>2161</v>
      </c>
      <c r="C541" s="3"/>
      <c r="D541" s="10" t="s">
        <v>2760</v>
      </c>
      <c r="E541" s="10" t="s">
        <v>2781</v>
      </c>
      <c r="F541" s="11" t="s">
        <v>12</v>
      </c>
      <c r="G541" s="31">
        <v>1</v>
      </c>
    </row>
    <row r="542" customHeight="1" spans="1:7">
      <c r="A542" s="3" t="s">
        <v>2479</v>
      </c>
      <c r="B542" s="3">
        <v>2161</v>
      </c>
      <c r="C542" s="3"/>
      <c r="D542" s="10" t="s">
        <v>2760</v>
      </c>
      <c r="E542" s="10" t="s">
        <v>2782</v>
      </c>
      <c r="F542" s="11" t="s">
        <v>12</v>
      </c>
      <c r="G542" s="31">
        <v>1</v>
      </c>
    </row>
    <row r="543" customHeight="1" spans="1:7">
      <c r="A543" s="3" t="s">
        <v>2482</v>
      </c>
      <c r="B543" s="3">
        <v>2161</v>
      </c>
      <c r="C543" s="3"/>
      <c r="D543" s="10" t="s">
        <v>2760</v>
      </c>
      <c r="E543" s="10" t="s">
        <v>2783</v>
      </c>
      <c r="F543" s="11" t="s">
        <v>12</v>
      </c>
      <c r="G543" s="31">
        <v>1</v>
      </c>
    </row>
    <row r="544" customHeight="1" spans="1:7">
      <c r="A544" s="3" t="s">
        <v>2484</v>
      </c>
      <c r="B544" s="3">
        <v>2161</v>
      </c>
      <c r="C544" s="3"/>
      <c r="D544" s="10" t="s">
        <v>2644</v>
      </c>
      <c r="E544" s="10" t="s">
        <v>2773</v>
      </c>
      <c r="F544" s="11" t="s">
        <v>12</v>
      </c>
      <c r="G544" s="31">
        <v>3</v>
      </c>
    </row>
    <row r="545" customHeight="1" spans="1:7">
      <c r="A545" s="3" t="s">
        <v>2496</v>
      </c>
      <c r="B545" s="3">
        <v>2161</v>
      </c>
      <c r="C545" s="3"/>
      <c r="D545" s="10" t="s">
        <v>2508</v>
      </c>
      <c r="E545" s="10" t="s">
        <v>2784</v>
      </c>
      <c r="F545" s="11" t="s">
        <v>12</v>
      </c>
      <c r="G545" s="31">
        <v>1</v>
      </c>
    </row>
    <row r="546" customHeight="1" spans="1:7">
      <c r="A546" s="3" t="s">
        <v>2511</v>
      </c>
      <c r="B546" s="3">
        <v>2161</v>
      </c>
      <c r="C546" s="3"/>
      <c r="D546" s="10" t="s">
        <v>2617</v>
      </c>
      <c r="E546" s="10" t="s">
        <v>2686</v>
      </c>
      <c r="F546" s="11" t="s">
        <v>12</v>
      </c>
      <c r="G546" s="31">
        <v>4</v>
      </c>
    </row>
    <row r="547" customHeight="1" spans="1:7">
      <c r="A547" s="3" t="s">
        <v>2514</v>
      </c>
      <c r="B547" s="3">
        <v>2161</v>
      </c>
      <c r="C547" s="3"/>
      <c r="D547" s="10" t="s">
        <v>2776</v>
      </c>
      <c r="E547" s="10" t="s">
        <v>2777</v>
      </c>
      <c r="F547" s="11" t="s">
        <v>12</v>
      </c>
      <c r="G547" s="31">
        <v>4</v>
      </c>
    </row>
    <row r="548" customHeight="1" spans="1:7">
      <c r="A548" s="3" t="s">
        <v>2516</v>
      </c>
      <c r="B548" s="3">
        <v>2161</v>
      </c>
      <c r="C548" s="3"/>
      <c r="D548" s="10" t="s">
        <v>2778</v>
      </c>
      <c r="E548" s="10" t="s">
        <v>2779</v>
      </c>
      <c r="F548" s="11" t="s">
        <v>2348</v>
      </c>
      <c r="G548" s="31">
        <v>1</v>
      </c>
    </row>
    <row r="549" customHeight="1" spans="1:7">
      <c r="A549" s="3" t="s">
        <v>2518</v>
      </c>
      <c r="B549" s="3">
        <v>2161</v>
      </c>
      <c r="C549" s="3"/>
      <c r="D549" s="10" t="s">
        <v>2480</v>
      </c>
      <c r="E549" s="10" t="s">
        <v>2481</v>
      </c>
      <c r="F549" s="11" t="s">
        <v>26</v>
      </c>
      <c r="G549" s="31">
        <v>12</v>
      </c>
    </row>
    <row r="550" customHeight="1" spans="1:7">
      <c r="A550" s="3" t="s">
        <v>2520</v>
      </c>
      <c r="B550" s="3">
        <v>2161</v>
      </c>
      <c r="C550" s="3"/>
      <c r="D550" s="10" t="s">
        <v>2785</v>
      </c>
      <c r="E550" s="10" t="s">
        <v>2786</v>
      </c>
      <c r="F550" s="11" t="s">
        <v>26</v>
      </c>
      <c r="G550" s="31">
        <v>18</v>
      </c>
    </row>
    <row r="551" customHeight="1" spans="1:7">
      <c r="A551" s="3" t="s">
        <v>2523</v>
      </c>
      <c r="B551" s="3">
        <v>2161</v>
      </c>
      <c r="C551" s="3"/>
      <c r="D551" s="10" t="s">
        <v>2483</v>
      </c>
      <c r="E551" s="10" t="s">
        <v>2481</v>
      </c>
      <c r="F551" s="11" t="s">
        <v>26</v>
      </c>
      <c r="G551" s="31">
        <v>5</v>
      </c>
    </row>
    <row r="552" customHeight="1" spans="1:7">
      <c r="A552" s="3" t="s">
        <v>2525</v>
      </c>
      <c r="B552" s="3">
        <v>2161</v>
      </c>
      <c r="C552" s="3"/>
      <c r="D552" s="10" t="s">
        <v>2551</v>
      </c>
      <c r="E552" s="10" t="s">
        <v>2614</v>
      </c>
      <c r="F552" s="11" t="s">
        <v>26</v>
      </c>
      <c r="G552" s="31">
        <v>62</v>
      </c>
    </row>
    <row r="553" customHeight="1" spans="1:7">
      <c r="A553" s="3" t="s">
        <v>2527</v>
      </c>
      <c r="B553" s="3">
        <v>2161</v>
      </c>
      <c r="C553" s="3"/>
      <c r="D553" s="10" t="s">
        <v>2485</v>
      </c>
      <c r="E553" s="10" t="s">
        <v>2486</v>
      </c>
      <c r="F553" s="11" t="s">
        <v>26</v>
      </c>
      <c r="G553" s="31">
        <v>1</v>
      </c>
    </row>
    <row r="554" customHeight="1" spans="1:7">
      <c r="A554" s="3">
        <v>2</v>
      </c>
      <c r="B554" s="3">
        <v>2161</v>
      </c>
      <c r="C554" s="3"/>
      <c r="D554" s="10" t="s">
        <v>2487</v>
      </c>
      <c r="E554" s="10"/>
      <c r="F554" s="11"/>
      <c r="G554" s="31"/>
    </row>
    <row r="555" customHeight="1" spans="1:7">
      <c r="A555" s="3" t="s">
        <v>2472</v>
      </c>
      <c r="B555" s="3">
        <v>2161</v>
      </c>
      <c r="C555" s="3" t="s">
        <v>1847</v>
      </c>
      <c r="D555" s="10" t="s">
        <v>2488</v>
      </c>
      <c r="E555" s="10" t="s">
        <v>2489</v>
      </c>
      <c r="F555" s="11" t="s">
        <v>1462</v>
      </c>
      <c r="G555" s="31">
        <v>6000</v>
      </c>
    </row>
    <row r="556" customHeight="1" spans="1:7">
      <c r="A556" s="3" t="s">
        <v>2475</v>
      </c>
      <c r="B556" s="3">
        <v>2161</v>
      </c>
      <c r="C556" s="3" t="s">
        <v>831</v>
      </c>
      <c r="D556" s="10" t="s">
        <v>831</v>
      </c>
      <c r="E556" s="10" t="s">
        <v>2327</v>
      </c>
      <c r="F556" s="11" t="s">
        <v>1462</v>
      </c>
      <c r="G556" s="31">
        <v>300</v>
      </c>
    </row>
    <row r="557" customHeight="1" spans="1:7">
      <c r="A557" s="3" t="s">
        <v>2476</v>
      </c>
      <c r="B557" s="3">
        <v>2161</v>
      </c>
      <c r="C557" s="3" t="s">
        <v>1754</v>
      </c>
      <c r="D557" s="10" t="s">
        <v>2492</v>
      </c>
      <c r="E557" s="10" t="s">
        <v>2327</v>
      </c>
      <c r="F557" s="11" t="s">
        <v>23</v>
      </c>
      <c r="G557" s="31">
        <v>7</v>
      </c>
    </row>
    <row r="558" customHeight="1" spans="1:7">
      <c r="A558" s="3" t="s">
        <v>2479</v>
      </c>
      <c r="B558" s="3">
        <v>2161</v>
      </c>
      <c r="C558" s="3" t="s">
        <v>1754</v>
      </c>
      <c r="D558" s="10" t="s">
        <v>2749</v>
      </c>
      <c r="E558" s="10" t="s">
        <v>2327</v>
      </c>
      <c r="F558" s="11" t="s">
        <v>826</v>
      </c>
      <c r="G558" s="31">
        <v>23</v>
      </c>
    </row>
    <row r="559" customHeight="1" spans="1:7">
      <c r="A559" s="3" t="s">
        <v>2482</v>
      </c>
      <c r="B559" s="3">
        <v>2161</v>
      </c>
      <c r="C559" s="3"/>
      <c r="D559" s="10" t="s">
        <v>2750</v>
      </c>
      <c r="E559" s="10" t="s">
        <v>2327</v>
      </c>
      <c r="F559" s="11" t="s">
        <v>26</v>
      </c>
      <c r="G559" s="31">
        <v>30</v>
      </c>
    </row>
    <row r="560" customHeight="1" spans="1:7">
      <c r="A560" s="3" t="s">
        <v>2484</v>
      </c>
      <c r="B560" s="3">
        <v>2161</v>
      </c>
      <c r="C560" s="3" t="s">
        <v>865</v>
      </c>
      <c r="D560" s="10" t="s">
        <v>2493</v>
      </c>
      <c r="E560" s="10" t="s">
        <v>2494</v>
      </c>
      <c r="F560" s="11" t="s">
        <v>1462</v>
      </c>
      <c r="G560" s="31">
        <v>80</v>
      </c>
    </row>
    <row r="561" customHeight="1" spans="1:7">
      <c r="A561" s="3" t="s">
        <v>2496</v>
      </c>
      <c r="B561" s="3">
        <v>2161</v>
      </c>
      <c r="C561" s="3" t="s">
        <v>865</v>
      </c>
      <c r="D561" s="10" t="s">
        <v>2619</v>
      </c>
      <c r="E561" s="10" t="s">
        <v>2620</v>
      </c>
      <c r="F561" s="11" t="s">
        <v>1462</v>
      </c>
      <c r="G561" s="31">
        <v>15</v>
      </c>
    </row>
    <row r="562" customHeight="1" spans="1:7">
      <c r="A562" s="3" t="s">
        <v>2511</v>
      </c>
      <c r="B562" s="3">
        <v>2161</v>
      </c>
      <c r="C562" s="3" t="s">
        <v>865</v>
      </c>
      <c r="D562" s="10" t="s">
        <v>2556</v>
      </c>
      <c r="E562" s="10" t="s">
        <v>2557</v>
      </c>
      <c r="F562" s="11" t="s">
        <v>2558</v>
      </c>
      <c r="G562" s="31">
        <v>10</v>
      </c>
    </row>
    <row r="563" customHeight="1" spans="1:7">
      <c r="A563" s="3" t="s">
        <v>2514</v>
      </c>
      <c r="B563" s="3">
        <v>2161</v>
      </c>
      <c r="C563" s="3" t="s">
        <v>824</v>
      </c>
      <c r="D563" s="10" t="s">
        <v>824</v>
      </c>
      <c r="E563" s="10" t="s">
        <v>2555</v>
      </c>
      <c r="F563" s="11" t="s">
        <v>1462</v>
      </c>
      <c r="G563" s="31">
        <v>180</v>
      </c>
    </row>
    <row r="564" customHeight="1" spans="1:7">
      <c r="A564" s="3" t="s">
        <v>2516</v>
      </c>
      <c r="B564" s="3">
        <v>2161</v>
      </c>
      <c r="C564" s="3" t="s">
        <v>824</v>
      </c>
      <c r="D564" s="10" t="s">
        <v>824</v>
      </c>
      <c r="E564" s="10" t="s">
        <v>2787</v>
      </c>
      <c r="F564" s="11" t="s">
        <v>1462</v>
      </c>
      <c r="G564" s="31">
        <v>80</v>
      </c>
    </row>
    <row r="565" customHeight="1" spans="1:7">
      <c r="A565" s="3" t="s">
        <v>2518</v>
      </c>
      <c r="B565" s="3">
        <v>2161</v>
      </c>
      <c r="C565" s="3" t="s">
        <v>681</v>
      </c>
      <c r="D565" s="10" t="s">
        <v>681</v>
      </c>
      <c r="E565" s="10" t="s">
        <v>2495</v>
      </c>
      <c r="F565" s="11" t="s">
        <v>1462</v>
      </c>
      <c r="G565" s="31">
        <v>5</v>
      </c>
    </row>
    <row r="566" customHeight="1" spans="1:7">
      <c r="A566" s="3" t="s">
        <v>2520</v>
      </c>
      <c r="B566" s="3">
        <v>2161</v>
      </c>
      <c r="C566" s="3"/>
      <c r="D566" s="10" t="s">
        <v>2497</v>
      </c>
      <c r="E566" s="10" t="s">
        <v>2498</v>
      </c>
      <c r="F566" s="11" t="s">
        <v>1462</v>
      </c>
      <c r="G566" s="31">
        <v>1</v>
      </c>
    </row>
    <row r="567" customHeight="1" spans="1:7">
      <c r="A567" s="3" t="s">
        <v>2788</v>
      </c>
      <c r="B567" s="3"/>
      <c r="C567" s="3"/>
      <c r="D567" s="10" t="s">
        <v>2789</v>
      </c>
      <c r="E567" s="10"/>
      <c r="F567" s="11"/>
      <c r="G567" s="31"/>
    </row>
    <row r="568" ht="30" customHeight="1" spans="1:7">
      <c r="A568" s="3" t="s">
        <v>2472</v>
      </c>
      <c r="B568" s="3"/>
      <c r="C568" s="3"/>
      <c r="D568" s="10" t="s">
        <v>2790</v>
      </c>
      <c r="E568" s="10" t="s">
        <v>2791</v>
      </c>
      <c r="F568" s="11" t="s">
        <v>23</v>
      </c>
      <c r="G568" s="31">
        <v>1</v>
      </c>
    </row>
    <row r="569" customHeight="1" spans="1:7">
      <c r="A569" s="3"/>
      <c r="B569" s="3"/>
      <c r="C569" s="3"/>
      <c r="D569" s="10"/>
      <c r="E569" s="10"/>
      <c r="F569" s="11"/>
      <c r="G569" s="31"/>
    </row>
    <row r="570" s="1" customFormat="1" customHeight="1" spans="1:7">
      <c r="A570" s="12"/>
      <c r="B570" s="12"/>
      <c r="C570" s="12"/>
      <c r="D570" s="13" t="s">
        <v>34</v>
      </c>
      <c r="E570" s="13"/>
      <c r="F570" s="14"/>
      <c r="G570" s="32"/>
    </row>
    <row r="571" s="1" customFormat="1" customHeight="1" spans="1:7">
      <c r="A571" s="12"/>
      <c r="B571" s="12"/>
      <c r="C571" s="12"/>
      <c r="D571" s="13" t="s">
        <v>661</v>
      </c>
      <c r="E571" s="13"/>
      <c r="F571" s="14"/>
      <c r="G571" s="32"/>
    </row>
    <row r="574" customHeight="1" spans="1:7">
      <c r="E574" s="2" t="s">
        <v>1843</v>
      </c>
      <c r="F574" s="2" t="s">
        <v>1462</v>
      </c>
      <c r="G574" s="30">
        <f>SUMIF($C$4:$C$568,E574,$G$4:$G$568)</f>
        <v>28170</v>
      </c>
    </row>
    <row r="575" customHeight="1" spans="1:7">
      <c r="E575" s="2" t="s">
        <v>1847</v>
      </c>
      <c r="F575" s="2" t="s">
        <v>1462</v>
      </c>
      <c r="G575" s="30">
        <f t="shared" ref="G575" si="0">SUMIF($C$4:$C$568,E575,$G$4:$G$568)</f>
        <v>79420</v>
      </c>
    </row>
    <row r="576" customHeight="1" spans="1:7">
      <c r="E576" s="2" t="s">
        <v>865</v>
      </c>
      <c r="F576" s="2" t="s">
        <v>1210</v>
      </c>
      <c r="G576" s="30" t="e">
        <f>SUMIF($C$4:$C$568,E576,#REF!)</f>
        <v>#REF!</v>
      </c>
    </row>
    <row r="577" customHeight="1" spans="5:7">
      <c r="E577" s="2" t="s">
        <v>1970</v>
      </c>
      <c r="F577" s="2" t="s">
        <v>1210</v>
      </c>
      <c r="G577" s="30" t="e">
        <f>SUMIF($C$4:$C$568,E577,#REF!)</f>
        <v>#REF!</v>
      </c>
    </row>
  </sheetData>
  <autoFilter xmlns:etc="http://www.wps.cn/officeDocument/2017/etCustomData" ref="A2:G571" etc:filterBottomFollowUsedRange="0">
    <extLst/>
  </autoFilter>
  <mergeCells count="6"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133"/>
  <sheetViews>
    <sheetView zoomScale="85" zoomScaleNormal="85" workbookViewId="0">
      <pane xSplit="4" ySplit="2" topLeftCell="E117" activePane="bottomRight" state="frozen"/>
      <selection/>
      <selection pane="topRight"/>
      <selection pane="bottomLeft"/>
      <selection pane="bottomRight" activeCell="A1" sqref="$A1:$XFD1"/>
    </sheetView>
  </sheetViews>
  <sheetFormatPr defaultColWidth="8.8" defaultRowHeight="12" outlineLevelCol="6"/>
  <cols>
    <col min="1" max="1" width="8.8" style="2"/>
    <col min="2" max="3" width="10.8" style="2" customWidth="1"/>
    <col min="4" max="4" width="16.4" style="2" customWidth="1"/>
    <col min="5" max="5" width="34.2" style="2" customWidth="1"/>
    <col min="6" max="6" width="8.8" style="2"/>
    <col min="7" max="7" width="11.2" style="2" customWidth="1"/>
    <col min="8" max="16384" width="8.8" style="2"/>
  </cols>
  <sheetData>
    <row r="1" ht="22" customHeight="1" spans="1:7">
      <c r="A1" s="15" t="s">
        <v>0</v>
      </c>
      <c r="B1" s="16"/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ht="22" customHeight="1" spans="1:7">
      <c r="A2" s="15"/>
      <c r="B2" s="17"/>
      <c r="C2" s="17"/>
      <c r="D2" s="15"/>
      <c r="E2" s="15"/>
      <c r="F2" s="15"/>
      <c r="G2" s="15"/>
    </row>
    <row r="3" ht="22" customHeight="1" spans="1:7">
      <c r="A3" s="15"/>
      <c r="B3" s="17"/>
      <c r="C3" s="17"/>
      <c r="D3" s="15"/>
      <c r="E3" s="15" t="s">
        <v>2792</v>
      </c>
      <c r="F3" s="15"/>
      <c r="G3" s="15"/>
    </row>
    <row r="4" ht="22" customHeight="1" spans="1:7">
      <c r="A4" s="15" t="s">
        <v>2793</v>
      </c>
      <c r="B4" s="17"/>
      <c r="C4" s="17"/>
      <c r="D4" s="15" t="s">
        <v>2066</v>
      </c>
      <c r="E4" s="19"/>
      <c r="F4" s="15"/>
      <c r="G4" s="15"/>
    </row>
    <row r="5" s="21" customFormat="1" ht="21.5" customHeight="1" spans="1:7">
      <c r="A5" s="83" t="s">
        <v>2794</v>
      </c>
      <c r="B5" s="6"/>
      <c r="C5" s="6"/>
      <c r="D5" s="7" t="s">
        <v>2262</v>
      </c>
      <c r="E5" s="10" t="s">
        <v>2795</v>
      </c>
      <c r="F5" s="11" t="s">
        <v>26</v>
      </c>
      <c r="G5" s="11">
        <v>16</v>
      </c>
    </row>
    <row r="6" s="21" customFormat="1" ht="36" customHeight="1" spans="1:7">
      <c r="A6" s="82" t="s">
        <v>2796</v>
      </c>
      <c r="B6" s="3">
        <v>2104</v>
      </c>
      <c r="C6" s="3"/>
      <c r="D6" s="22" t="s">
        <v>2797</v>
      </c>
      <c r="E6" s="22" t="s">
        <v>2798</v>
      </c>
      <c r="F6" s="23" t="s">
        <v>26</v>
      </c>
      <c r="G6" s="23">
        <v>2</v>
      </c>
    </row>
    <row r="7" s="21" customFormat="1" ht="21.5" customHeight="1" spans="1:7">
      <c r="A7" s="3"/>
      <c r="B7" s="3">
        <v>2104</v>
      </c>
      <c r="C7" s="15"/>
      <c r="D7" s="22" t="s">
        <v>2799</v>
      </c>
      <c r="E7" s="22" t="s">
        <v>2800</v>
      </c>
      <c r="F7" s="23" t="s">
        <v>1895</v>
      </c>
      <c r="G7" s="23">
        <v>2</v>
      </c>
    </row>
    <row r="8" s="21" customFormat="1" ht="21.5" customHeight="1" spans="1:7">
      <c r="A8" s="3" t="s">
        <v>2801</v>
      </c>
      <c r="B8" s="3">
        <v>2104</v>
      </c>
      <c r="C8" s="3"/>
      <c r="D8" s="24" t="s">
        <v>2802</v>
      </c>
      <c r="E8" s="22" t="s">
        <v>2800</v>
      </c>
      <c r="F8" s="23" t="s">
        <v>1895</v>
      </c>
      <c r="G8" s="23">
        <v>1</v>
      </c>
    </row>
    <row r="9" s="21" customFormat="1" ht="21.5" customHeight="1" spans="1:7">
      <c r="A9" s="3" t="s">
        <v>2803</v>
      </c>
      <c r="B9" s="3">
        <v>2104</v>
      </c>
      <c r="C9" s="3"/>
      <c r="D9" s="22" t="s">
        <v>2804</v>
      </c>
      <c r="E9" s="22" t="s">
        <v>2805</v>
      </c>
      <c r="F9" s="23" t="s">
        <v>23</v>
      </c>
      <c r="G9" s="23">
        <v>1</v>
      </c>
    </row>
    <row r="10" s="21" customFormat="1" ht="21.5" customHeight="1" spans="1:7">
      <c r="A10" s="3" t="s">
        <v>2806</v>
      </c>
      <c r="B10" s="3">
        <v>2104</v>
      </c>
      <c r="C10" s="3"/>
      <c r="D10" s="22" t="s">
        <v>2807</v>
      </c>
      <c r="E10" s="22" t="s">
        <v>2808</v>
      </c>
      <c r="F10" s="23" t="s">
        <v>26</v>
      </c>
      <c r="G10" s="23">
        <v>18</v>
      </c>
    </row>
    <row r="11" s="21" customFormat="1" ht="21.5" customHeight="1" spans="1:7">
      <c r="A11" s="3" t="s">
        <v>2809</v>
      </c>
      <c r="B11" s="3">
        <v>2104</v>
      </c>
      <c r="C11" s="3"/>
      <c r="D11" s="22" t="s">
        <v>2810</v>
      </c>
      <c r="E11" s="22" t="s">
        <v>2811</v>
      </c>
      <c r="F11" s="23" t="s">
        <v>26</v>
      </c>
      <c r="G11" s="23">
        <v>13</v>
      </c>
    </row>
    <row r="12" s="21" customFormat="1" ht="21.5" customHeight="1" spans="1:7">
      <c r="A12" s="3" t="s">
        <v>2812</v>
      </c>
      <c r="B12" s="3">
        <v>2104</v>
      </c>
      <c r="C12" s="3"/>
      <c r="D12" s="22" t="s">
        <v>2813</v>
      </c>
      <c r="E12" s="22" t="s">
        <v>2814</v>
      </c>
      <c r="F12" s="23" t="s">
        <v>26</v>
      </c>
      <c r="G12" s="23">
        <v>6</v>
      </c>
    </row>
    <row r="13" s="21" customFormat="1" ht="21.5" customHeight="1" spans="1:7">
      <c r="A13" s="3" t="s">
        <v>2815</v>
      </c>
      <c r="B13" s="3">
        <v>2104</v>
      </c>
      <c r="C13" s="3"/>
      <c r="D13" s="22" t="s">
        <v>2816</v>
      </c>
      <c r="E13" s="22" t="s">
        <v>2817</v>
      </c>
      <c r="F13" s="23" t="s">
        <v>26</v>
      </c>
      <c r="G13" s="23">
        <v>3</v>
      </c>
    </row>
    <row r="14" s="21" customFormat="1" ht="21.5" customHeight="1" spans="1:7">
      <c r="A14" s="3" t="s">
        <v>2818</v>
      </c>
      <c r="B14" s="3">
        <v>2104</v>
      </c>
      <c r="C14" s="3"/>
      <c r="D14" s="22" t="s">
        <v>2819</v>
      </c>
      <c r="E14" s="22" t="s">
        <v>2820</v>
      </c>
      <c r="F14" s="23" t="s">
        <v>12</v>
      </c>
      <c r="G14" s="23">
        <v>1</v>
      </c>
    </row>
    <row r="15" s="21" customFormat="1" ht="21.5" customHeight="1" spans="1:7">
      <c r="A15" s="3" t="s">
        <v>1232</v>
      </c>
      <c r="B15" s="3">
        <v>2104</v>
      </c>
      <c r="C15" s="3"/>
      <c r="D15" s="22" t="s">
        <v>2821</v>
      </c>
      <c r="E15" s="22" t="s">
        <v>2820</v>
      </c>
      <c r="F15" s="23" t="s">
        <v>12</v>
      </c>
      <c r="G15" s="23">
        <v>1</v>
      </c>
    </row>
    <row r="16" s="21" customFormat="1" ht="21.5" customHeight="1" spans="1:7">
      <c r="A16" s="6" t="s">
        <v>2822</v>
      </c>
      <c r="B16" s="3">
        <v>2104</v>
      </c>
      <c r="C16" s="6"/>
      <c r="D16" s="22" t="s">
        <v>2823</v>
      </c>
      <c r="E16" s="22" t="s">
        <v>2824</v>
      </c>
      <c r="F16" s="23" t="s">
        <v>12</v>
      </c>
      <c r="G16" s="23">
        <v>0</v>
      </c>
    </row>
    <row r="17" s="21" customFormat="1" ht="42" customHeight="1" spans="1:7">
      <c r="A17" s="3" t="s">
        <v>2825</v>
      </c>
      <c r="B17" s="3">
        <v>2104</v>
      </c>
      <c r="C17" s="3"/>
      <c r="D17" s="22" t="s">
        <v>2826</v>
      </c>
      <c r="E17" s="22" t="s">
        <v>2827</v>
      </c>
      <c r="F17" s="23" t="s">
        <v>23</v>
      </c>
      <c r="G17" s="23">
        <v>1</v>
      </c>
    </row>
    <row r="18" s="21" customFormat="1" ht="21.5" customHeight="1" spans="1:7">
      <c r="A18" s="3" t="s">
        <v>2828</v>
      </c>
      <c r="B18" s="3">
        <v>2104</v>
      </c>
      <c r="C18" s="15"/>
      <c r="D18" s="22" t="s">
        <v>2826</v>
      </c>
      <c r="E18" s="22" t="s">
        <v>2829</v>
      </c>
      <c r="F18" s="23" t="s">
        <v>23</v>
      </c>
      <c r="G18" s="23">
        <v>1</v>
      </c>
    </row>
    <row r="19" s="21" customFormat="1" ht="21.5" customHeight="1" spans="1:7">
      <c r="A19" s="3" t="s">
        <v>2830</v>
      </c>
      <c r="B19" s="3">
        <v>2104</v>
      </c>
      <c r="C19" s="3"/>
      <c r="D19" s="22" t="s">
        <v>2826</v>
      </c>
      <c r="E19" s="22" t="s">
        <v>2831</v>
      </c>
      <c r="F19" s="23" t="s">
        <v>23</v>
      </c>
      <c r="G19" s="23">
        <v>1</v>
      </c>
    </row>
    <row r="20" s="21" customFormat="1" ht="21.5" customHeight="1" spans="1:7">
      <c r="A20" s="3" t="s">
        <v>2832</v>
      </c>
      <c r="B20" s="3">
        <v>2104</v>
      </c>
      <c r="C20" s="3"/>
      <c r="D20" s="22" t="s">
        <v>2833</v>
      </c>
      <c r="E20" s="22" t="s">
        <v>2834</v>
      </c>
      <c r="F20" s="23" t="s">
        <v>12</v>
      </c>
      <c r="G20" s="23">
        <v>1</v>
      </c>
    </row>
    <row r="21" s="21" customFormat="1" ht="21.5" customHeight="1" spans="1:7">
      <c r="A21" s="3" t="s">
        <v>2835</v>
      </c>
      <c r="B21" s="3">
        <v>2104</v>
      </c>
      <c r="C21" s="3"/>
      <c r="D21" s="22" t="s">
        <v>2833</v>
      </c>
      <c r="E21" s="22" t="s">
        <v>2836</v>
      </c>
      <c r="F21" s="23" t="s">
        <v>12</v>
      </c>
      <c r="G21" s="23">
        <v>1</v>
      </c>
    </row>
    <row r="22" s="21" customFormat="1" ht="21.5" customHeight="1" spans="1:7">
      <c r="A22" s="3" t="s">
        <v>2837</v>
      </c>
      <c r="B22" s="3">
        <v>2104</v>
      </c>
      <c r="C22" s="3"/>
      <c r="D22" s="22" t="s">
        <v>2838</v>
      </c>
      <c r="E22" s="22" t="s">
        <v>2839</v>
      </c>
      <c r="F22" s="23" t="s">
        <v>1462</v>
      </c>
      <c r="G22" s="23">
        <v>100</v>
      </c>
    </row>
    <row r="23" s="21" customFormat="1" ht="21.5" customHeight="1" spans="1:7">
      <c r="A23" s="3" t="s">
        <v>2840</v>
      </c>
      <c r="B23" s="3">
        <v>2104</v>
      </c>
      <c r="C23" s="3"/>
      <c r="D23" s="22" t="s">
        <v>2841</v>
      </c>
      <c r="E23" s="22" t="s">
        <v>2842</v>
      </c>
      <c r="F23" s="23" t="s">
        <v>1462</v>
      </c>
      <c r="G23" s="23">
        <v>300</v>
      </c>
    </row>
    <row r="24" s="21" customFormat="1" ht="21.5" customHeight="1" spans="1:7">
      <c r="A24" s="3" t="s">
        <v>2843</v>
      </c>
      <c r="B24" s="3">
        <v>2104</v>
      </c>
      <c r="C24" s="3"/>
      <c r="D24" s="22" t="s">
        <v>2844</v>
      </c>
      <c r="E24" s="22" t="s">
        <v>2845</v>
      </c>
      <c r="F24" s="23" t="s">
        <v>1462</v>
      </c>
      <c r="G24" s="23">
        <v>150</v>
      </c>
    </row>
    <row r="25" s="21" customFormat="1" ht="21.5" customHeight="1" spans="1:7">
      <c r="A25" s="3" t="s">
        <v>2846</v>
      </c>
      <c r="B25" s="3">
        <v>2104</v>
      </c>
      <c r="C25" s="3"/>
      <c r="D25" s="22" t="s">
        <v>2847</v>
      </c>
      <c r="E25" s="22" t="s">
        <v>2848</v>
      </c>
      <c r="F25" s="23"/>
      <c r="G25" s="23"/>
    </row>
    <row r="26" s="21" customFormat="1" ht="21.5" customHeight="1" spans="1:7">
      <c r="A26" s="3"/>
      <c r="B26" s="3">
        <v>2104</v>
      </c>
      <c r="C26" s="3"/>
      <c r="D26" s="22" t="s">
        <v>2849</v>
      </c>
      <c r="E26" s="22" t="s">
        <v>2850</v>
      </c>
      <c r="F26" s="23" t="s">
        <v>23</v>
      </c>
      <c r="G26" s="23">
        <v>1</v>
      </c>
    </row>
    <row r="27" s="21" customFormat="1" ht="21.5" customHeight="1" spans="1:7">
      <c r="A27" s="3"/>
      <c r="B27" s="3">
        <v>2104</v>
      </c>
      <c r="C27" s="3"/>
      <c r="D27" s="22" t="s">
        <v>2851</v>
      </c>
      <c r="E27" s="22" t="s">
        <v>2852</v>
      </c>
      <c r="F27" s="23" t="s">
        <v>23</v>
      </c>
      <c r="G27" s="23">
        <v>1</v>
      </c>
    </row>
    <row r="28" s="21" customFormat="1" ht="21.5" customHeight="1" spans="1:7">
      <c r="A28" s="3"/>
      <c r="B28" s="3"/>
      <c r="C28" s="3"/>
      <c r="D28" s="22"/>
      <c r="E28" s="22"/>
      <c r="F28" s="23"/>
      <c r="G28" s="23"/>
    </row>
    <row r="29" s="21" customFormat="1" ht="21.5" customHeight="1" spans="1:7">
      <c r="A29" s="12"/>
      <c r="B29" s="12"/>
      <c r="C29" s="12"/>
      <c r="D29" s="25" t="s">
        <v>34</v>
      </c>
      <c r="E29" s="25"/>
      <c r="F29" s="26"/>
      <c r="G29" s="26"/>
    </row>
    <row r="30" s="21" customFormat="1" ht="21.5" customHeight="1" spans="1:7">
      <c r="A30" s="3">
        <v>2</v>
      </c>
      <c r="B30" s="3"/>
      <c r="C30" s="3"/>
      <c r="D30" s="22" t="s">
        <v>2112</v>
      </c>
      <c r="E30" s="10"/>
      <c r="F30" s="23"/>
      <c r="G30" s="23"/>
    </row>
    <row r="31" s="21" customFormat="1" ht="21.5" customHeight="1" spans="1:7">
      <c r="A31" s="3" t="s">
        <v>2853</v>
      </c>
      <c r="B31" s="3">
        <v>2105</v>
      </c>
      <c r="C31" s="3"/>
      <c r="D31" s="22" t="s">
        <v>2262</v>
      </c>
      <c r="E31" s="10" t="s">
        <v>2854</v>
      </c>
      <c r="F31" s="23" t="s">
        <v>26</v>
      </c>
      <c r="G31" s="23">
        <v>9</v>
      </c>
    </row>
    <row r="32" s="21" customFormat="1" ht="21.5" customHeight="1" spans="1:7">
      <c r="A32" s="3" t="s">
        <v>2855</v>
      </c>
      <c r="B32" s="3">
        <v>2105</v>
      </c>
      <c r="C32" s="3"/>
      <c r="D32" s="22" t="s">
        <v>2262</v>
      </c>
      <c r="E32" s="10" t="s">
        <v>2856</v>
      </c>
      <c r="F32" s="23" t="s">
        <v>26</v>
      </c>
      <c r="G32" s="23">
        <v>15</v>
      </c>
    </row>
    <row r="33" s="21" customFormat="1" ht="21.5" customHeight="1" spans="1:7">
      <c r="A33" s="3" t="s">
        <v>2857</v>
      </c>
      <c r="B33" s="3">
        <v>2105</v>
      </c>
      <c r="C33" s="3"/>
      <c r="D33" s="22" t="s">
        <v>2262</v>
      </c>
      <c r="E33" s="10" t="s">
        <v>2795</v>
      </c>
      <c r="F33" s="23" t="s">
        <v>26</v>
      </c>
      <c r="G33" s="23">
        <v>10</v>
      </c>
    </row>
    <row r="34" s="21" customFormat="1" ht="21.5" customHeight="1" spans="1:7">
      <c r="A34" s="3" t="s">
        <v>2858</v>
      </c>
      <c r="B34" s="3">
        <v>2105</v>
      </c>
      <c r="C34" s="3"/>
      <c r="D34" s="22" t="s">
        <v>2260</v>
      </c>
      <c r="E34" s="10" t="s">
        <v>2859</v>
      </c>
      <c r="F34" s="23" t="s">
        <v>26</v>
      </c>
      <c r="G34" s="23">
        <v>4</v>
      </c>
    </row>
    <row r="35" s="21" customFormat="1" ht="21.5" customHeight="1" spans="1:7">
      <c r="A35" s="3" t="s">
        <v>2860</v>
      </c>
      <c r="B35" s="3">
        <v>2105</v>
      </c>
      <c r="C35" s="3"/>
      <c r="D35" s="22" t="s">
        <v>2797</v>
      </c>
      <c r="E35" s="10" t="s">
        <v>2798</v>
      </c>
      <c r="F35" s="23" t="s">
        <v>26</v>
      </c>
      <c r="G35" s="23">
        <v>5</v>
      </c>
    </row>
    <row r="36" s="21" customFormat="1" ht="21.5" customHeight="1" spans="1:7">
      <c r="A36" s="3" t="s">
        <v>2861</v>
      </c>
      <c r="B36" s="3">
        <v>2105</v>
      </c>
      <c r="C36" s="3"/>
      <c r="D36" s="22" t="s">
        <v>2802</v>
      </c>
      <c r="E36" s="10" t="s">
        <v>2800</v>
      </c>
      <c r="F36" s="23" t="s">
        <v>1895</v>
      </c>
      <c r="G36" s="23">
        <v>6</v>
      </c>
    </row>
    <row r="37" s="21" customFormat="1" ht="21.5" customHeight="1" spans="1:7">
      <c r="A37" s="3" t="s">
        <v>2862</v>
      </c>
      <c r="B37" s="3">
        <v>2105</v>
      </c>
      <c r="C37" s="3"/>
      <c r="D37" s="22" t="s">
        <v>2804</v>
      </c>
      <c r="E37" s="10" t="s">
        <v>2805</v>
      </c>
      <c r="F37" s="23" t="s">
        <v>23</v>
      </c>
      <c r="G37" s="23">
        <v>4</v>
      </c>
    </row>
    <row r="38" s="21" customFormat="1" ht="21.5" customHeight="1" spans="1:7">
      <c r="A38" s="3"/>
      <c r="B38" s="3">
        <v>2105</v>
      </c>
      <c r="C38" s="3"/>
      <c r="D38" s="22"/>
      <c r="E38" s="10" t="s">
        <v>2863</v>
      </c>
      <c r="F38" s="23" t="s">
        <v>23</v>
      </c>
      <c r="G38" s="23">
        <v>1</v>
      </c>
    </row>
    <row r="39" s="21" customFormat="1" ht="21.5" customHeight="1" spans="1:7">
      <c r="A39" s="3" t="s">
        <v>2864</v>
      </c>
      <c r="B39" s="3">
        <v>2105</v>
      </c>
      <c r="C39" s="3"/>
      <c r="D39" s="22" t="s">
        <v>2865</v>
      </c>
      <c r="E39" s="10" t="s">
        <v>2866</v>
      </c>
      <c r="F39" s="23" t="s">
        <v>23</v>
      </c>
      <c r="G39" s="23">
        <v>5</v>
      </c>
    </row>
    <row r="40" s="21" customFormat="1" ht="21.5" customHeight="1" spans="1:7">
      <c r="A40" s="3" t="s">
        <v>2867</v>
      </c>
      <c r="B40" s="3">
        <v>2105</v>
      </c>
      <c r="C40" s="3"/>
      <c r="D40" s="22" t="s">
        <v>2807</v>
      </c>
      <c r="E40" s="10" t="s">
        <v>2868</v>
      </c>
      <c r="F40" s="23" t="s">
        <v>26</v>
      </c>
      <c r="G40" s="23">
        <v>77</v>
      </c>
    </row>
    <row r="41" s="21" customFormat="1" ht="21.5" customHeight="1" spans="1:7">
      <c r="A41" s="3" t="s">
        <v>1263</v>
      </c>
      <c r="B41" s="3">
        <v>2105</v>
      </c>
      <c r="C41" s="3"/>
      <c r="D41" s="22" t="s">
        <v>2810</v>
      </c>
      <c r="E41" s="10" t="s">
        <v>2811</v>
      </c>
      <c r="F41" s="23" t="s">
        <v>26</v>
      </c>
      <c r="G41" s="23">
        <v>36</v>
      </c>
    </row>
    <row r="42" s="21" customFormat="1" ht="21.5" customHeight="1" spans="1:7">
      <c r="A42" s="3" t="s">
        <v>2869</v>
      </c>
      <c r="B42" s="3">
        <v>2105</v>
      </c>
      <c r="C42" s="3"/>
      <c r="D42" s="22" t="s">
        <v>2813</v>
      </c>
      <c r="E42" s="10" t="s">
        <v>2814</v>
      </c>
      <c r="F42" s="23" t="s">
        <v>26</v>
      </c>
      <c r="G42" s="23">
        <v>49</v>
      </c>
    </row>
    <row r="43" s="21" customFormat="1" ht="21.5" customHeight="1" spans="1:7">
      <c r="A43" s="3" t="s">
        <v>2870</v>
      </c>
      <c r="B43" s="3">
        <v>2105</v>
      </c>
      <c r="C43" s="3"/>
      <c r="D43" s="22" t="s">
        <v>2816</v>
      </c>
      <c r="E43" s="10" t="s">
        <v>2871</v>
      </c>
      <c r="F43" s="23" t="s">
        <v>26</v>
      </c>
      <c r="G43" s="23">
        <v>7</v>
      </c>
    </row>
    <row r="44" s="21" customFormat="1" ht="21.5" customHeight="1" spans="1:7">
      <c r="A44" s="3" t="s">
        <v>2872</v>
      </c>
      <c r="B44" s="3">
        <v>2105</v>
      </c>
      <c r="C44" s="3"/>
      <c r="D44" s="22" t="s">
        <v>2873</v>
      </c>
      <c r="E44" s="10" t="s">
        <v>2874</v>
      </c>
      <c r="F44" s="23" t="s">
        <v>26</v>
      </c>
      <c r="G44" s="23">
        <v>12</v>
      </c>
    </row>
    <row r="45" s="21" customFormat="1" ht="21.5" customHeight="1" spans="1:7">
      <c r="A45" s="3" t="s">
        <v>2875</v>
      </c>
      <c r="B45" s="3">
        <v>2105</v>
      </c>
      <c r="C45" s="3"/>
      <c r="D45" s="22" t="s">
        <v>2819</v>
      </c>
      <c r="E45" s="10" t="s">
        <v>2820</v>
      </c>
      <c r="F45" s="23" t="s">
        <v>12</v>
      </c>
      <c r="G45" s="23">
        <v>1</v>
      </c>
    </row>
    <row r="46" s="21" customFormat="1" ht="21.5" customHeight="1" spans="1:7">
      <c r="A46" s="3" t="s">
        <v>2876</v>
      </c>
      <c r="B46" s="3">
        <v>2105</v>
      </c>
      <c r="C46" s="3"/>
      <c r="D46" s="22" t="s">
        <v>2821</v>
      </c>
      <c r="E46" s="10" t="s">
        <v>2820</v>
      </c>
      <c r="F46" s="23" t="s">
        <v>12</v>
      </c>
      <c r="G46" s="23">
        <v>7</v>
      </c>
    </row>
    <row r="47" s="21" customFormat="1" ht="21.5" customHeight="1" spans="1:7">
      <c r="A47" s="3" t="s">
        <v>2877</v>
      </c>
      <c r="B47" s="3">
        <v>2105</v>
      </c>
      <c r="C47" s="3"/>
      <c r="D47" s="22" t="s">
        <v>2823</v>
      </c>
      <c r="E47" s="10" t="s">
        <v>2824</v>
      </c>
      <c r="F47" s="23" t="s">
        <v>12</v>
      </c>
      <c r="G47" s="23">
        <v>3</v>
      </c>
    </row>
    <row r="48" s="21" customFormat="1" ht="21.5" customHeight="1" spans="1:7">
      <c r="A48" s="3" t="s">
        <v>2878</v>
      </c>
      <c r="B48" s="3">
        <v>2105</v>
      </c>
      <c r="C48" s="3"/>
      <c r="D48" s="22" t="s">
        <v>2879</v>
      </c>
      <c r="E48" s="10" t="s">
        <v>2880</v>
      </c>
      <c r="F48" s="23" t="s">
        <v>12</v>
      </c>
      <c r="G48" s="23">
        <v>1</v>
      </c>
    </row>
    <row r="49" s="21" customFormat="1" ht="21.5" customHeight="1" spans="1:7">
      <c r="A49" s="3" t="s">
        <v>2881</v>
      </c>
      <c r="B49" s="3">
        <v>2105</v>
      </c>
      <c r="C49" s="3"/>
      <c r="D49" s="22" t="s">
        <v>2826</v>
      </c>
      <c r="E49" s="10" t="s">
        <v>2882</v>
      </c>
      <c r="F49" s="23" t="s">
        <v>23</v>
      </c>
      <c r="G49" s="23">
        <v>1</v>
      </c>
    </row>
    <row r="50" s="21" customFormat="1" ht="21.5" customHeight="1" spans="1:7">
      <c r="A50" s="3" t="s">
        <v>2883</v>
      </c>
      <c r="B50" s="3">
        <v>2105</v>
      </c>
      <c r="C50" s="3"/>
      <c r="D50" s="22" t="s">
        <v>2826</v>
      </c>
      <c r="E50" s="10" t="s">
        <v>2884</v>
      </c>
      <c r="F50" s="23" t="s">
        <v>23</v>
      </c>
      <c r="G50" s="23">
        <v>7</v>
      </c>
    </row>
    <row r="51" s="21" customFormat="1" ht="21.5" customHeight="1" spans="1:7">
      <c r="A51" s="3" t="s">
        <v>2885</v>
      </c>
      <c r="B51" s="3">
        <v>2105</v>
      </c>
      <c r="C51" s="3"/>
      <c r="D51" s="22" t="s">
        <v>2826</v>
      </c>
      <c r="E51" s="10" t="s">
        <v>2886</v>
      </c>
      <c r="F51" s="23" t="s">
        <v>23</v>
      </c>
      <c r="G51" s="23">
        <v>1</v>
      </c>
    </row>
    <row r="52" s="21" customFormat="1" ht="21.5" customHeight="1" spans="1:7">
      <c r="A52" s="3" t="s">
        <v>2887</v>
      </c>
      <c r="B52" s="3">
        <v>2105</v>
      </c>
      <c r="C52" s="3"/>
      <c r="D52" s="22" t="s">
        <v>2833</v>
      </c>
      <c r="E52" s="10" t="s">
        <v>2834</v>
      </c>
      <c r="F52" s="23" t="s">
        <v>12</v>
      </c>
      <c r="G52" s="23">
        <v>3</v>
      </c>
    </row>
    <row r="53" s="21" customFormat="1" ht="21.5" customHeight="1" spans="1:7">
      <c r="A53" s="3" t="s">
        <v>2888</v>
      </c>
      <c r="B53" s="3">
        <v>2105</v>
      </c>
      <c r="C53" s="3"/>
      <c r="D53" s="22" t="s">
        <v>2833</v>
      </c>
      <c r="E53" s="10" t="s">
        <v>2836</v>
      </c>
      <c r="F53" s="23" t="s">
        <v>12</v>
      </c>
      <c r="G53" s="23">
        <v>7</v>
      </c>
    </row>
    <row r="54" s="21" customFormat="1" ht="21.5" customHeight="1" spans="1:7">
      <c r="A54" s="3" t="s">
        <v>2889</v>
      </c>
      <c r="B54" s="3">
        <v>2105</v>
      </c>
      <c r="C54" s="3"/>
      <c r="D54" s="22" t="s">
        <v>2833</v>
      </c>
      <c r="E54" s="10" t="s">
        <v>2890</v>
      </c>
      <c r="F54" s="23" t="s">
        <v>1895</v>
      </c>
      <c r="G54" s="23">
        <v>1</v>
      </c>
    </row>
    <row r="55" s="21" customFormat="1" ht="21.5" customHeight="1" spans="1:7">
      <c r="A55" s="3" t="s">
        <v>2891</v>
      </c>
      <c r="B55" s="3">
        <v>2105</v>
      </c>
      <c r="C55" s="3"/>
      <c r="D55" s="22" t="s">
        <v>2838</v>
      </c>
      <c r="E55" s="10"/>
      <c r="F55" s="23" t="s">
        <v>1462</v>
      </c>
      <c r="G55" s="23">
        <v>1200</v>
      </c>
    </row>
    <row r="56" s="21" customFormat="1" ht="21.5" customHeight="1" spans="1:7">
      <c r="A56" s="3" t="s">
        <v>2892</v>
      </c>
      <c r="B56" s="3">
        <v>2105</v>
      </c>
      <c r="C56" s="3"/>
      <c r="D56" s="22" t="s">
        <v>2841</v>
      </c>
      <c r="E56" s="10" t="s">
        <v>2842</v>
      </c>
      <c r="F56" s="23" t="s">
        <v>1462</v>
      </c>
      <c r="G56" s="23">
        <v>2000</v>
      </c>
    </row>
    <row r="57" s="21" customFormat="1" ht="21.5" customHeight="1" spans="1:7">
      <c r="A57" s="3" t="s">
        <v>2893</v>
      </c>
      <c r="B57" s="3">
        <v>2105</v>
      </c>
      <c r="C57" s="3"/>
      <c r="D57" s="22" t="s">
        <v>2844</v>
      </c>
      <c r="E57" s="10" t="s">
        <v>2845</v>
      </c>
      <c r="F57" s="23" t="s">
        <v>1462</v>
      </c>
      <c r="G57" s="23">
        <v>900</v>
      </c>
    </row>
    <row r="58" s="21" customFormat="1" ht="21.5" customHeight="1" spans="1:7">
      <c r="A58" s="3" t="s">
        <v>2894</v>
      </c>
      <c r="B58" s="3">
        <v>2105</v>
      </c>
      <c r="C58" s="3"/>
      <c r="D58" s="22" t="s">
        <v>2847</v>
      </c>
      <c r="E58" s="10" t="s">
        <v>2895</v>
      </c>
      <c r="F58" s="23"/>
      <c r="G58" s="23"/>
    </row>
    <row r="59" s="21" customFormat="1" ht="21.5" customHeight="1" spans="1:7">
      <c r="A59" s="3"/>
      <c r="B59" s="3">
        <v>2105</v>
      </c>
      <c r="C59" s="3"/>
      <c r="D59" s="22" t="s">
        <v>2849</v>
      </c>
      <c r="E59" s="10" t="s">
        <v>2896</v>
      </c>
      <c r="F59" s="23" t="s">
        <v>23</v>
      </c>
      <c r="G59" s="23">
        <v>1</v>
      </c>
    </row>
    <row r="60" s="21" customFormat="1" ht="21.5" customHeight="1" spans="1:7">
      <c r="A60" s="3"/>
      <c r="B60" s="3">
        <v>2105</v>
      </c>
      <c r="C60" s="3"/>
      <c r="D60" s="22" t="s">
        <v>2851</v>
      </c>
      <c r="E60" s="10" t="s">
        <v>2897</v>
      </c>
      <c r="F60" s="23" t="s">
        <v>1895</v>
      </c>
      <c r="G60" s="23">
        <v>1</v>
      </c>
    </row>
    <row r="61" s="21" customFormat="1" ht="21.5" customHeight="1" spans="1:7">
      <c r="A61" s="3" t="s">
        <v>2898</v>
      </c>
      <c r="B61" s="3">
        <v>2105</v>
      </c>
      <c r="C61" s="3"/>
      <c r="D61" s="22" t="s">
        <v>2847</v>
      </c>
      <c r="E61" s="10" t="s">
        <v>2848</v>
      </c>
      <c r="F61" s="23"/>
      <c r="G61" s="23"/>
    </row>
    <row r="62" s="21" customFormat="1" ht="21.5" customHeight="1" spans="1:7">
      <c r="A62" s="3"/>
      <c r="B62" s="3">
        <v>2105</v>
      </c>
      <c r="C62" s="3"/>
      <c r="D62" s="22" t="s">
        <v>2849</v>
      </c>
      <c r="E62" s="10" t="s">
        <v>2899</v>
      </c>
      <c r="F62" s="23" t="s">
        <v>23</v>
      </c>
      <c r="G62" s="23">
        <v>1</v>
      </c>
    </row>
    <row r="63" s="21" customFormat="1" ht="21.5" customHeight="1" spans="1:7">
      <c r="A63" s="3"/>
      <c r="B63" s="3">
        <v>2105</v>
      </c>
      <c r="C63" s="3"/>
      <c r="D63" s="22" t="s">
        <v>2851</v>
      </c>
      <c r="E63" s="10" t="s">
        <v>2852</v>
      </c>
      <c r="F63" s="23" t="s">
        <v>1895</v>
      </c>
      <c r="G63" s="23">
        <v>1</v>
      </c>
    </row>
    <row r="64" s="21" customFormat="1" ht="21.5" customHeight="1" spans="1:7">
      <c r="A64" s="3"/>
      <c r="B64" s="3"/>
      <c r="C64" s="3"/>
      <c r="D64" s="22"/>
      <c r="E64" s="10"/>
      <c r="F64" s="23"/>
      <c r="G64" s="23"/>
    </row>
    <row r="65" s="21" customFormat="1" ht="21.5" customHeight="1" spans="1:7">
      <c r="A65" s="12"/>
      <c r="B65" s="12"/>
      <c r="C65" s="12"/>
      <c r="D65" s="25" t="s">
        <v>34</v>
      </c>
      <c r="E65" s="25"/>
      <c r="F65" s="26"/>
      <c r="G65" s="26"/>
    </row>
    <row r="66" s="21" customFormat="1" ht="21.5" customHeight="1" spans="1:7">
      <c r="A66" s="3" t="s">
        <v>2900</v>
      </c>
      <c r="B66" s="3"/>
      <c r="C66" s="3"/>
      <c r="D66" s="22" t="s">
        <v>2667</v>
      </c>
      <c r="E66" s="10"/>
      <c r="F66" s="23"/>
      <c r="G66" s="23"/>
    </row>
    <row r="67" s="21" customFormat="1" ht="21.5" customHeight="1" spans="1:7">
      <c r="A67" s="3" t="s">
        <v>2901</v>
      </c>
      <c r="B67" s="27" t="s">
        <v>2902</v>
      </c>
      <c r="C67" s="3"/>
      <c r="D67" s="22" t="s">
        <v>2262</v>
      </c>
      <c r="E67" s="10" t="s">
        <v>2903</v>
      </c>
      <c r="F67" s="23" t="s">
        <v>26</v>
      </c>
      <c r="G67" s="23">
        <v>28</v>
      </c>
    </row>
    <row r="68" s="21" customFormat="1" ht="21.5" customHeight="1" spans="1:7">
      <c r="A68" s="3" t="s">
        <v>2904</v>
      </c>
      <c r="B68" s="27" t="s">
        <v>2902</v>
      </c>
      <c r="C68" s="3"/>
      <c r="D68" s="22" t="s">
        <v>2797</v>
      </c>
      <c r="E68" s="10" t="s">
        <v>2905</v>
      </c>
      <c r="F68" s="23" t="s">
        <v>26</v>
      </c>
      <c r="G68" s="23">
        <v>2</v>
      </c>
    </row>
    <row r="69" s="21" customFormat="1" ht="21.5" customHeight="1" spans="1:7">
      <c r="A69" s="3" t="s">
        <v>2906</v>
      </c>
      <c r="B69" s="27" t="s">
        <v>2902</v>
      </c>
      <c r="C69" s="3"/>
      <c r="D69" s="22" t="s">
        <v>2802</v>
      </c>
      <c r="E69" s="10" t="s">
        <v>2800</v>
      </c>
      <c r="F69" s="23" t="s">
        <v>1895</v>
      </c>
      <c r="G69" s="23">
        <v>3</v>
      </c>
    </row>
    <row r="70" s="21" customFormat="1" ht="21.5" customHeight="1" spans="1:7">
      <c r="A70" s="3" t="s">
        <v>2907</v>
      </c>
      <c r="B70" s="27" t="s">
        <v>2902</v>
      </c>
      <c r="C70" s="3"/>
      <c r="D70" s="22" t="s">
        <v>2804</v>
      </c>
      <c r="E70" s="10" t="s">
        <v>2805</v>
      </c>
      <c r="F70" s="23" t="s">
        <v>23</v>
      </c>
      <c r="G70" s="23">
        <v>1</v>
      </c>
    </row>
    <row r="71" s="21" customFormat="1" ht="21.5" customHeight="1" spans="1:7">
      <c r="A71" s="3" t="s">
        <v>2908</v>
      </c>
      <c r="B71" s="27" t="s">
        <v>2902</v>
      </c>
      <c r="C71" s="3"/>
      <c r="D71" s="22" t="s">
        <v>2807</v>
      </c>
      <c r="E71" s="10" t="s">
        <v>2868</v>
      </c>
      <c r="F71" s="23" t="s">
        <v>26</v>
      </c>
      <c r="G71" s="23">
        <v>20</v>
      </c>
    </row>
    <row r="72" s="21" customFormat="1" ht="21.5" customHeight="1" spans="1:7">
      <c r="A72" s="3" t="s">
        <v>2909</v>
      </c>
      <c r="B72" s="27" t="s">
        <v>2902</v>
      </c>
      <c r="C72" s="3"/>
      <c r="D72" s="22" t="s">
        <v>2810</v>
      </c>
      <c r="E72" s="10" t="s">
        <v>2910</v>
      </c>
      <c r="F72" s="23" t="s">
        <v>26</v>
      </c>
      <c r="G72" s="23">
        <v>10</v>
      </c>
    </row>
    <row r="73" s="21" customFormat="1" ht="21.5" customHeight="1" spans="1:7">
      <c r="A73" s="3" t="s">
        <v>2911</v>
      </c>
      <c r="B73" s="27" t="s">
        <v>2902</v>
      </c>
      <c r="C73" s="3"/>
      <c r="D73" s="22" t="s">
        <v>2813</v>
      </c>
      <c r="E73" s="10" t="s">
        <v>2912</v>
      </c>
      <c r="F73" s="23" t="s">
        <v>26</v>
      </c>
      <c r="G73" s="23">
        <v>10</v>
      </c>
    </row>
    <row r="74" s="21" customFormat="1" ht="21.5" customHeight="1" spans="1:7">
      <c r="A74" s="3" t="s">
        <v>2913</v>
      </c>
      <c r="B74" s="27" t="s">
        <v>2902</v>
      </c>
      <c r="C74" s="3"/>
      <c r="D74" s="22" t="s">
        <v>2816</v>
      </c>
      <c r="E74" s="10" t="s">
        <v>2914</v>
      </c>
      <c r="F74" s="23" t="s">
        <v>26</v>
      </c>
      <c r="G74" s="23">
        <v>1</v>
      </c>
    </row>
    <row r="75" s="21" customFormat="1" ht="21.5" customHeight="1" spans="1:7">
      <c r="A75" s="3" t="s">
        <v>2915</v>
      </c>
      <c r="B75" s="27" t="s">
        <v>2902</v>
      </c>
      <c r="C75" s="3"/>
      <c r="D75" s="22" t="s">
        <v>2819</v>
      </c>
      <c r="E75" s="10" t="s">
        <v>2820</v>
      </c>
      <c r="F75" s="23" t="s">
        <v>12</v>
      </c>
      <c r="G75" s="23">
        <v>1</v>
      </c>
    </row>
    <row r="76" s="21" customFormat="1" ht="21.5" customHeight="1" spans="1:7">
      <c r="A76" s="3" t="s">
        <v>2916</v>
      </c>
      <c r="B76" s="27" t="s">
        <v>2902</v>
      </c>
      <c r="C76" s="3"/>
      <c r="D76" s="22" t="s">
        <v>2821</v>
      </c>
      <c r="E76" s="10" t="s">
        <v>2820</v>
      </c>
      <c r="F76" s="23" t="s">
        <v>12</v>
      </c>
      <c r="G76" s="23">
        <v>2</v>
      </c>
    </row>
    <row r="77" s="21" customFormat="1" ht="21.5" customHeight="1" spans="1:7">
      <c r="A77" s="3" t="s">
        <v>2917</v>
      </c>
      <c r="B77" s="27" t="s">
        <v>2902</v>
      </c>
      <c r="C77" s="3"/>
      <c r="D77" s="22" t="s">
        <v>2823</v>
      </c>
      <c r="E77" s="10" t="s">
        <v>2824</v>
      </c>
      <c r="F77" s="23" t="s">
        <v>12</v>
      </c>
      <c r="G77" s="23">
        <v>0</v>
      </c>
    </row>
    <row r="78" s="21" customFormat="1" ht="21.5" customHeight="1" spans="1:7">
      <c r="A78" s="3" t="s">
        <v>2918</v>
      </c>
      <c r="B78" s="27" t="s">
        <v>2902</v>
      </c>
      <c r="C78" s="3"/>
      <c r="D78" s="22" t="s">
        <v>2826</v>
      </c>
      <c r="E78" s="10" t="s">
        <v>2827</v>
      </c>
      <c r="F78" s="23" t="s">
        <v>23</v>
      </c>
      <c r="G78" s="23">
        <v>1</v>
      </c>
    </row>
    <row r="79" s="21" customFormat="1" ht="21.5" customHeight="1" spans="1:7">
      <c r="A79" s="3" t="s">
        <v>2919</v>
      </c>
      <c r="B79" s="27" t="s">
        <v>2902</v>
      </c>
      <c r="C79" s="3"/>
      <c r="D79" s="22" t="s">
        <v>2826</v>
      </c>
      <c r="E79" s="10" t="s">
        <v>2920</v>
      </c>
      <c r="F79" s="23" t="s">
        <v>23</v>
      </c>
      <c r="G79" s="23">
        <v>2</v>
      </c>
    </row>
    <row r="80" s="21" customFormat="1" ht="21.5" customHeight="1" spans="1:7">
      <c r="A80" s="3" t="s">
        <v>2921</v>
      </c>
      <c r="B80" s="27" t="s">
        <v>2902</v>
      </c>
      <c r="C80" s="3"/>
      <c r="D80" s="22" t="s">
        <v>2826</v>
      </c>
      <c r="E80" s="10" t="s">
        <v>2886</v>
      </c>
      <c r="F80" s="23" t="s">
        <v>23</v>
      </c>
      <c r="G80" s="23">
        <v>1</v>
      </c>
    </row>
    <row r="81" s="21" customFormat="1" ht="21.5" customHeight="1" spans="1:7">
      <c r="A81" s="3" t="s">
        <v>2922</v>
      </c>
      <c r="B81" s="27" t="s">
        <v>2902</v>
      </c>
      <c r="C81" s="3"/>
      <c r="D81" s="22" t="s">
        <v>2833</v>
      </c>
      <c r="E81" s="10" t="s">
        <v>2834</v>
      </c>
      <c r="F81" s="23" t="s">
        <v>12</v>
      </c>
      <c r="G81" s="23">
        <v>2</v>
      </c>
    </row>
    <row r="82" s="21" customFormat="1" ht="21.5" customHeight="1" spans="1:7">
      <c r="A82" s="3" t="s">
        <v>2923</v>
      </c>
      <c r="B82" s="27" t="s">
        <v>2902</v>
      </c>
      <c r="C82" s="3"/>
      <c r="D82" s="22" t="s">
        <v>2833</v>
      </c>
      <c r="E82" s="10" t="s">
        <v>2836</v>
      </c>
      <c r="F82" s="23" t="s">
        <v>12</v>
      </c>
      <c r="G82" s="23">
        <v>2</v>
      </c>
    </row>
    <row r="83" s="21" customFormat="1" ht="21.5" customHeight="1" spans="1:7">
      <c r="A83" s="3" t="s">
        <v>2924</v>
      </c>
      <c r="B83" s="27" t="s">
        <v>2902</v>
      </c>
      <c r="C83" s="3"/>
      <c r="D83" s="22" t="s">
        <v>2833</v>
      </c>
      <c r="E83" s="10" t="s">
        <v>2890</v>
      </c>
      <c r="F83" s="23" t="s">
        <v>1895</v>
      </c>
      <c r="G83" s="23">
        <v>1</v>
      </c>
    </row>
    <row r="84" s="21" customFormat="1" ht="21.5" customHeight="1" spans="1:7">
      <c r="A84" s="3" t="s">
        <v>2925</v>
      </c>
      <c r="B84" s="27" t="s">
        <v>2902</v>
      </c>
      <c r="C84" s="3"/>
      <c r="D84" s="22" t="s">
        <v>2838</v>
      </c>
      <c r="E84" s="10" t="s">
        <v>2839</v>
      </c>
      <c r="F84" s="23" t="s">
        <v>1462</v>
      </c>
      <c r="G84" s="23">
        <v>200</v>
      </c>
    </row>
    <row r="85" s="21" customFormat="1" ht="21.5" customHeight="1" spans="1:7">
      <c r="A85" s="3" t="s">
        <v>2926</v>
      </c>
      <c r="B85" s="27" t="s">
        <v>2902</v>
      </c>
      <c r="C85" s="3"/>
      <c r="D85" s="22" t="s">
        <v>2841</v>
      </c>
      <c r="E85" s="10" t="s">
        <v>2842</v>
      </c>
      <c r="F85" s="23" t="s">
        <v>1462</v>
      </c>
      <c r="G85" s="23">
        <v>400</v>
      </c>
    </row>
    <row r="86" s="21" customFormat="1" ht="21.5" customHeight="1" spans="1:7">
      <c r="A86" s="3" t="s">
        <v>2927</v>
      </c>
      <c r="B86" s="27" t="s">
        <v>2902</v>
      </c>
      <c r="C86" s="3"/>
      <c r="D86" s="22" t="s">
        <v>2844</v>
      </c>
      <c r="E86" s="10" t="s">
        <v>2845</v>
      </c>
      <c r="F86" s="23" t="s">
        <v>1462</v>
      </c>
      <c r="G86" s="23">
        <v>100</v>
      </c>
    </row>
    <row r="87" s="21" customFormat="1" ht="21.5" customHeight="1" spans="1:7">
      <c r="A87" s="3" t="s">
        <v>2928</v>
      </c>
      <c r="B87" s="27" t="s">
        <v>2902</v>
      </c>
      <c r="C87" s="3"/>
      <c r="D87" s="22" t="s">
        <v>2847</v>
      </c>
      <c r="E87" s="10" t="s">
        <v>2848</v>
      </c>
      <c r="F87" s="23"/>
      <c r="G87" s="23"/>
    </row>
    <row r="88" s="21" customFormat="1" ht="21.5" customHeight="1" spans="1:7">
      <c r="A88" s="3"/>
      <c r="B88" s="27" t="s">
        <v>2902</v>
      </c>
      <c r="C88" s="3"/>
      <c r="D88" s="22" t="s">
        <v>2849</v>
      </c>
      <c r="E88" s="10" t="s">
        <v>2899</v>
      </c>
      <c r="F88" s="23" t="s">
        <v>23</v>
      </c>
      <c r="G88" s="23">
        <v>1</v>
      </c>
    </row>
    <row r="89" s="21" customFormat="1" ht="21.5" customHeight="1" spans="1:7">
      <c r="A89" s="3"/>
      <c r="B89" s="27" t="s">
        <v>2902</v>
      </c>
      <c r="C89" s="3"/>
      <c r="D89" s="22" t="s">
        <v>2851</v>
      </c>
      <c r="E89" s="10" t="s">
        <v>2929</v>
      </c>
      <c r="F89" s="23" t="s">
        <v>1895</v>
      </c>
      <c r="G89" s="23">
        <v>1</v>
      </c>
    </row>
    <row r="90" s="21" customFormat="1" ht="21.75" customHeight="1" spans="1:7">
      <c r="A90" s="3"/>
      <c r="B90" s="3"/>
      <c r="C90" s="3"/>
      <c r="D90" s="22"/>
      <c r="E90" s="22"/>
      <c r="F90" s="23"/>
      <c r="G90" s="28"/>
    </row>
    <row r="91" s="21" customFormat="1" ht="21.5" customHeight="1" spans="1:7">
      <c r="A91" s="12"/>
      <c r="B91" s="12"/>
      <c r="C91" s="12"/>
      <c r="D91" s="25" t="s">
        <v>34</v>
      </c>
      <c r="E91" s="25"/>
      <c r="F91" s="26"/>
      <c r="G91" s="29"/>
    </row>
    <row r="92" s="21" customFormat="1" ht="21.5" customHeight="1" spans="1:7">
      <c r="A92" s="3" t="s">
        <v>2793</v>
      </c>
      <c r="B92" s="3"/>
      <c r="C92" s="3"/>
      <c r="D92" s="22" t="s">
        <v>1092</v>
      </c>
      <c r="E92" s="10"/>
      <c r="F92" s="23"/>
      <c r="G92" s="23"/>
    </row>
    <row r="93" s="21" customFormat="1" ht="21.5" customHeight="1" spans="1:7">
      <c r="A93" s="3" t="s">
        <v>2794</v>
      </c>
      <c r="B93" s="27" t="s">
        <v>1213</v>
      </c>
      <c r="C93" s="3"/>
      <c r="D93" s="22" t="s">
        <v>2262</v>
      </c>
      <c r="E93" s="10" t="s">
        <v>2903</v>
      </c>
      <c r="F93" s="23" t="s">
        <v>26</v>
      </c>
      <c r="G93" s="23">
        <v>27</v>
      </c>
    </row>
    <row r="94" s="21" customFormat="1" ht="21.5" customHeight="1" spans="1:7">
      <c r="A94" s="3" t="s">
        <v>2796</v>
      </c>
      <c r="B94" s="27" t="s">
        <v>1213</v>
      </c>
      <c r="C94" s="3"/>
      <c r="D94" s="22" t="s">
        <v>2797</v>
      </c>
      <c r="E94" s="10" t="s">
        <v>2798</v>
      </c>
      <c r="F94" s="23" t="s">
        <v>26</v>
      </c>
      <c r="G94" s="23">
        <v>2</v>
      </c>
    </row>
    <row r="95" s="21" customFormat="1" ht="21.5" customHeight="1" spans="1:7">
      <c r="A95" s="3" t="s">
        <v>2801</v>
      </c>
      <c r="B95" s="27" t="s">
        <v>1213</v>
      </c>
      <c r="C95" s="3"/>
      <c r="D95" s="22" t="s">
        <v>2802</v>
      </c>
      <c r="E95" s="10" t="s">
        <v>2800</v>
      </c>
      <c r="F95" s="23" t="s">
        <v>1895</v>
      </c>
      <c r="G95" s="23">
        <v>2</v>
      </c>
    </row>
    <row r="96" s="21" customFormat="1" ht="21.5" customHeight="1" spans="1:7">
      <c r="A96" s="3" t="s">
        <v>2803</v>
      </c>
      <c r="B96" s="27" t="s">
        <v>1213</v>
      </c>
      <c r="C96" s="3"/>
      <c r="D96" s="22" t="s">
        <v>2804</v>
      </c>
      <c r="E96" s="10" t="s">
        <v>2805</v>
      </c>
      <c r="F96" s="23" t="s">
        <v>23</v>
      </c>
      <c r="G96" s="23">
        <v>1</v>
      </c>
    </row>
    <row r="97" s="21" customFormat="1" ht="21.5" customHeight="1" spans="1:7">
      <c r="A97" s="3" t="s">
        <v>2806</v>
      </c>
      <c r="B97" s="27" t="s">
        <v>1213</v>
      </c>
      <c r="C97" s="3"/>
      <c r="D97" s="22" t="s">
        <v>2865</v>
      </c>
      <c r="E97" s="10" t="s">
        <v>2866</v>
      </c>
      <c r="F97" s="23" t="s">
        <v>23</v>
      </c>
      <c r="G97" s="23">
        <v>4</v>
      </c>
    </row>
    <row r="98" s="21" customFormat="1" ht="21.5" customHeight="1" spans="1:7">
      <c r="A98" s="3" t="s">
        <v>2809</v>
      </c>
      <c r="B98" s="27" t="s">
        <v>1213</v>
      </c>
      <c r="C98" s="3"/>
      <c r="D98" s="22" t="s">
        <v>2807</v>
      </c>
      <c r="E98" s="10" t="s">
        <v>2868</v>
      </c>
      <c r="F98" s="23" t="s">
        <v>26</v>
      </c>
      <c r="G98" s="23">
        <v>20</v>
      </c>
    </row>
    <row r="99" s="21" customFormat="1" ht="21.5" customHeight="1" spans="1:7">
      <c r="A99" s="3" t="s">
        <v>2812</v>
      </c>
      <c r="B99" s="27" t="s">
        <v>1213</v>
      </c>
      <c r="C99" s="3"/>
      <c r="D99" s="22" t="s">
        <v>2810</v>
      </c>
      <c r="E99" s="10" t="s">
        <v>2811</v>
      </c>
      <c r="F99" s="23" t="s">
        <v>26</v>
      </c>
      <c r="G99" s="23">
        <v>10</v>
      </c>
    </row>
    <row r="100" s="21" customFormat="1" ht="21.5" customHeight="1" spans="1:7">
      <c r="A100" s="3" t="s">
        <v>2815</v>
      </c>
      <c r="B100" s="27" t="s">
        <v>1213</v>
      </c>
      <c r="C100" s="3"/>
      <c r="D100" s="22" t="s">
        <v>2813</v>
      </c>
      <c r="E100" s="10" t="s">
        <v>2814</v>
      </c>
      <c r="F100" s="23" t="s">
        <v>26</v>
      </c>
      <c r="G100" s="23">
        <v>21</v>
      </c>
    </row>
    <row r="101" s="21" customFormat="1" ht="21.5" customHeight="1" spans="1:7">
      <c r="A101" s="3" t="s">
        <v>2818</v>
      </c>
      <c r="B101" s="27" t="s">
        <v>1213</v>
      </c>
      <c r="C101" s="3"/>
      <c r="D101" s="22" t="s">
        <v>2816</v>
      </c>
      <c r="E101" s="10" t="s">
        <v>2914</v>
      </c>
      <c r="F101" s="23" t="s">
        <v>26</v>
      </c>
      <c r="G101" s="23">
        <v>2</v>
      </c>
    </row>
    <row r="102" s="21" customFormat="1" ht="21.5" customHeight="1" spans="1:7">
      <c r="A102" s="3" t="s">
        <v>1232</v>
      </c>
      <c r="B102" s="27" t="s">
        <v>1213</v>
      </c>
      <c r="C102" s="3"/>
      <c r="D102" s="22" t="s">
        <v>2873</v>
      </c>
      <c r="E102" s="10" t="s">
        <v>2874</v>
      </c>
      <c r="F102" s="23" t="s">
        <v>26</v>
      </c>
      <c r="G102" s="23">
        <v>4</v>
      </c>
    </row>
    <row r="103" s="21" customFormat="1" ht="21.5" customHeight="1" spans="1:7">
      <c r="A103" s="3" t="s">
        <v>2822</v>
      </c>
      <c r="B103" s="27" t="s">
        <v>1213</v>
      </c>
      <c r="C103" s="3"/>
      <c r="D103" s="22" t="s">
        <v>2821</v>
      </c>
      <c r="E103" s="10" t="s">
        <v>2820</v>
      </c>
      <c r="F103" s="23" t="s">
        <v>12</v>
      </c>
      <c r="G103" s="23">
        <v>2</v>
      </c>
    </row>
    <row r="104" s="21" customFormat="1" ht="21.5" customHeight="1" spans="1:7">
      <c r="A104" s="3" t="s">
        <v>2825</v>
      </c>
      <c r="B104" s="27" t="s">
        <v>1213</v>
      </c>
      <c r="C104" s="3"/>
      <c r="D104" s="22" t="s">
        <v>2826</v>
      </c>
      <c r="E104" s="10" t="s">
        <v>2829</v>
      </c>
      <c r="F104" s="23" t="s">
        <v>23</v>
      </c>
      <c r="G104" s="23">
        <v>2</v>
      </c>
    </row>
    <row r="105" s="21" customFormat="1" ht="21.5" customHeight="1" spans="1:7">
      <c r="A105" s="3" t="s">
        <v>2828</v>
      </c>
      <c r="B105" s="27" t="s">
        <v>1213</v>
      </c>
      <c r="C105" s="3"/>
      <c r="D105" s="22" t="s">
        <v>2833</v>
      </c>
      <c r="E105" s="10" t="s">
        <v>2834</v>
      </c>
      <c r="F105" s="23" t="s">
        <v>12</v>
      </c>
      <c r="G105" s="23">
        <v>1</v>
      </c>
    </row>
    <row r="106" s="21" customFormat="1" ht="21.5" customHeight="1" spans="1:7">
      <c r="A106" s="3" t="s">
        <v>2830</v>
      </c>
      <c r="B106" s="27" t="s">
        <v>1213</v>
      </c>
      <c r="C106" s="3"/>
      <c r="D106" s="22" t="s">
        <v>2833</v>
      </c>
      <c r="E106" s="10" t="s">
        <v>2836</v>
      </c>
      <c r="F106" s="23" t="s">
        <v>12</v>
      </c>
      <c r="G106" s="23">
        <v>1</v>
      </c>
    </row>
    <row r="107" s="21" customFormat="1" ht="21.5" customHeight="1" spans="1:7">
      <c r="A107" s="3" t="s">
        <v>2832</v>
      </c>
      <c r="B107" s="27" t="s">
        <v>1213</v>
      </c>
      <c r="C107" s="3"/>
      <c r="D107" s="22" t="s">
        <v>2833</v>
      </c>
      <c r="E107" s="10" t="s">
        <v>2890</v>
      </c>
      <c r="F107" s="23" t="s">
        <v>1895</v>
      </c>
      <c r="G107" s="23">
        <v>1</v>
      </c>
    </row>
    <row r="108" s="21" customFormat="1" ht="21.5" customHeight="1" spans="1:7">
      <c r="A108" s="3" t="s">
        <v>2835</v>
      </c>
      <c r="B108" s="27" t="s">
        <v>1213</v>
      </c>
      <c r="C108" s="3"/>
      <c r="D108" s="22" t="s">
        <v>2838</v>
      </c>
      <c r="E108" s="10"/>
      <c r="F108" s="23" t="s">
        <v>1462</v>
      </c>
      <c r="G108" s="23">
        <v>200</v>
      </c>
    </row>
    <row r="109" s="21" customFormat="1" ht="21.5" customHeight="1" spans="1:7">
      <c r="A109" s="3" t="s">
        <v>2837</v>
      </c>
      <c r="B109" s="27" t="s">
        <v>1213</v>
      </c>
      <c r="C109" s="3"/>
      <c r="D109" s="22" t="s">
        <v>2841</v>
      </c>
      <c r="E109" s="10" t="s">
        <v>2842</v>
      </c>
      <c r="F109" s="23" t="s">
        <v>1462</v>
      </c>
      <c r="G109" s="23">
        <v>300</v>
      </c>
    </row>
    <row r="110" s="21" customFormat="1" ht="21.5" customHeight="1" spans="1:7">
      <c r="A110" s="3" t="s">
        <v>2840</v>
      </c>
      <c r="B110" s="27" t="s">
        <v>1213</v>
      </c>
      <c r="C110" s="3"/>
      <c r="D110" s="22" t="s">
        <v>2844</v>
      </c>
      <c r="E110" s="10" t="s">
        <v>2845</v>
      </c>
      <c r="F110" s="23" t="s">
        <v>1462</v>
      </c>
      <c r="G110" s="23">
        <v>100</v>
      </c>
    </row>
    <row r="111" s="21" customFormat="1" ht="21.5" customHeight="1" spans="1:7">
      <c r="A111" s="3" t="s">
        <v>2843</v>
      </c>
      <c r="B111" s="27" t="s">
        <v>1213</v>
      </c>
      <c r="C111" s="3"/>
      <c r="D111" s="22" t="s">
        <v>2847</v>
      </c>
      <c r="E111" s="10" t="s">
        <v>2848</v>
      </c>
      <c r="F111" s="23"/>
      <c r="G111" s="23"/>
    </row>
    <row r="112" s="21" customFormat="1" ht="21.5" customHeight="1" spans="1:7">
      <c r="A112" s="3"/>
      <c r="B112" s="27" t="s">
        <v>1213</v>
      </c>
      <c r="C112" s="3"/>
      <c r="D112" s="22" t="s">
        <v>2849</v>
      </c>
      <c r="E112" s="10" t="s">
        <v>2899</v>
      </c>
      <c r="F112" s="23" t="s">
        <v>23</v>
      </c>
      <c r="G112" s="23">
        <v>1</v>
      </c>
    </row>
    <row r="113" s="21" customFormat="1" ht="21.5" customHeight="1" spans="1:7">
      <c r="A113" s="3"/>
      <c r="B113" s="27" t="s">
        <v>1213</v>
      </c>
      <c r="C113" s="3"/>
      <c r="D113" s="22" t="s">
        <v>2851</v>
      </c>
      <c r="E113" s="10" t="s">
        <v>2929</v>
      </c>
      <c r="F113" s="23" t="s">
        <v>1895</v>
      </c>
      <c r="G113" s="23">
        <v>1</v>
      </c>
    </row>
    <row r="114" s="21" customFormat="1" ht="21.5" customHeight="1" spans="1:7">
      <c r="A114" s="3"/>
      <c r="B114" s="3"/>
      <c r="C114" s="3"/>
      <c r="D114" s="22"/>
      <c r="E114" s="10"/>
      <c r="F114" s="23"/>
      <c r="G114" s="23"/>
    </row>
    <row r="115" s="21" customFormat="1" ht="21.5" customHeight="1" spans="1:7">
      <c r="A115" s="12"/>
      <c r="B115" s="12"/>
      <c r="C115" s="12"/>
      <c r="D115" s="25" t="s">
        <v>34</v>
      </c>
      <c r="E115" s="25"/>
      <c r="F115" s="26"/>
      <c r="G115" s="26"/>
    </row>
    <row r="116" s="21" customFormat="1" ht="21.5" customHeight="1" spans="1:7">
      <c r="A116" s="3" t="s">
        <v>2930</v>
      </c>
      <c r="B116" s="3"/>
      <c r="C116" s="3"/>
      <c r="D116" s="22" t="s">
        <v>2931</v>
      </c>
      <c r="E116" s="10"/>
      <c r="F116" s="23"/>
      <c r="G116" s="23"/>
    </row>
    <row r="117" s="21" customFormat="1" ht="21.5" customHeight="1" spans="1:7">
      <c r="A117" s="3" t="s">
        <v>2853</v>
      </c>
      <c r="B117" s="27" t="s">
        <v>1322</v>
      </c>
      <c r="C117" s="3"/>
      <c r="D117" s="22" t="s">
        <v>2797</v>
      </c>
      <c r="E117" s="10" t="s">
        <v>2798</v>
      </c>
      <c r="F117" s="23" t="s">
        <v>26</v>
      </c>
      <c r="G117" s="23">
        <v>3</v>
      </c>
    </row>
    <row r="118" s="21" customFormat="1" ht="21.5" customHeight="1" spans="1:7">
      <c r="A118" s="3" t="s">
        <v>2855</v>
      </c>
      <c r="B118" s="27" t="s">
        <v>1322</v>
      </c>
      <c r="C118" s="3"/>
      <c r="D118" s="22" t="s">
        <v>2932</v>
      </c>
      <c r="E118" s="10" t="s">
        <v>2933</v>
      </c>
      <c r="F118" s="23"/>
      <c r="G118" s="23"/>
    </row>
    <row r="119" s="21" customFormat="1" ht="21.5" customHeight="1" spans="1:7">
      <c r="A119" s="3" t="s">
        <v>2857</v>
      </c>
      <c r="B119" s="27" t="s">
        <v>1322</v>
      </c>
      <c r="C119" s="3"/>
      <c r="D119" s="22" t="s">
        <v>2821</v>
      </c>
      <c r="E119" s="10" t="s">
        <v>2820</v>
      </c>
      <c r="F119" s="23" t="s">
        <v>12</v>
      </c>
      <c r="G119" s="23">
        <v>3</v>
      </c>
    </row>
    <row r="120" s="21" customFormat="1" ht="21.5" customHeight="1" spans="1:7">
      <c r="A120" s="3" t="s">
        <v>2858</v>
      </c>
      <c r="B120" s="27" t="s">
        <v>1322</v>
      </c>
      <c r="C120" s="3"/>
      <c r="D120" s="22" t="s">
        <v>2934</v>
      </c>
      <c r="E120" s="10" t="s">
        <v>2933</v>
      </c>
      <c r="F120" s="23"/>
      <c r="G120" s="23"/>
    </row>
    <row r="121" s="21" customFormat="1" ht="21.5" customHeight="1" spans="1:7">
      <c r="A121" s="3" t="s">
        <v>2860</v>
      </c>
      <c r="B121" s="27" t="s">
        <v>1322</v>
      </c>
      <c r="C121" s="3"/>
      <c r="D121" s="22" t="s">
        <v>2935</v>
      </c>
      <c r="E121" s="10" t="s">
        <v>2933</v>
      </c>
      <c r="F121" s="23"/>
      <c r="G121" s="23"/>
    </row>
    <row r="122" s="21" customFormat="1" ht="21.5" customHeight="1" spans="1:7">
      <c r="A122" s="3" t="s">
        <v>2861</v>
      </c>
      <c r="B122" s="27" t="s">
        <v>1322</v>
      </c>
      <c r="C122" s="3"/>
      <c r="D122" s="22" t="s">
        <v>2936</v>
      </c>
      <c r="E122" s="10" t="s">
        <v>2933</v>
      </c>
      <c r="F122" s="23"/>
      <c r="G122" s="23"/>
    </row>
    <row r="123" s="21" customFormat="1" ht="21.5" customHeight="1" spans="1:7">
      <c r="A123" s="3" t="s">
        <v>2862</v>
      </c>
      <c r="B123" s="27" t="s">
        <v>1322</v>
      </c>
      <c r="C123" s="3"/>
      <c r="D123" s="22" t="s">
        <v>2841</v>
      </c>
      <c r="E123" s="10" t="s">
        <v>2842</v>
      </c>
      <c r="F123" s="23" t="s">
        <v>1462</v>
      </c>
      <c r="G123" s="23">
        <v>1000</v>
      </c>
    </row>
    <row r="124" s="21" customFormat="1" ht="21.5" customHeight="1" spans="1:7">
      <c r="A124" s="3" t="s">
        <v>2864</v>
      </c>
      <c r="B124" s="27" t="s">
        <v>1322</v>
      </c>
      <c r="C124" s="3"/>
      <c r="D124" s="22" t="s">
        <v>2844</v>
      </c>
      <c r="E124" s="10" t="s">
        <v>2845</v>
      </c>
      <c r="F124" s="23" t="s">
        <v>1462</v>
      </c>
      <c r="G124" s="23">
        <v>200</v>
      </c>
    </row>
    <row r="125" s="21" customFormat="1" ht="21.5" customHeight="1" spans="1:7">
      <c r="A125" s="3" t="s">
        <v>2867</v>
      </c>
      <c r="B125" s="27" t="s">
        <v>1322</v>
      </c>
      <c r="C125" s="3"/>
      <c r="D125" s="22" t="s">
        <v>2847</v>
      </c>
      <c r="E125" s="10" t="s">
        <v>2848</v>
      </c>
      <c r="F125" s="23"/>
      <c r="G125" s="23"/>
    </row>
    <row r="126" s="21" customFormat="1" ht="21.5" customHeight="1" spans="1:7">
      <c r="A126" s="3"/>
      <c r="B126" s="27" t="s">
        <v>1322</v>
      </c>
      <c r="C126" s="3"/>
      <c r="D126" s="22" t="s">
        <v>2849</v>
      </c>
      <c r="E126" s="10" t="s">
        <v>2850</v>
      </c>
      <c r="F126" s="23" t="s">
        <v>23</v>
      </c>
      <c r="G126" s="23">
        <v>3</v>
      </c>
    </row>
    <row r="127" s="21" customFormat="1" ht="21.5" customHeight="1" spans="1:7">
      <c r="A127" s="3"/>
      <c r="B127" s="3"/>
      <c r="C127" s="3"/>
      <c r="D127" s="22"/>
      <c r="E127" s="10"/>
      <c r="F127" s="23"/>
      <c r="G127" s="23"/>
    </row>
    <row r="128" s="21" customFormat="1" ht="21.5" customHeight="1" spans="1:7">
      <c r="A128" s="12"/>
      <c r="B128" s="12"/>
      <c r="C128" s="12"/>
      <c r="D128" s="25" t="s">
        <v>34</v>
      </c>
      <c r="E128" s="25"/>
      <c r="F128" s="26"/>
      <c r="G128" s="26"/>
    </row>
    <row r="129" s="21" customFormat="1" ht="21.5" customHeight="1" spans="1:7">
      <c r="A129" s="12"/>
      <c r="B129" s="12"/>
      <c r="C129" s="12"/>
      <c r="D129" s="25" t="s">
        <v>661</v>
      </c>
      <c r="E129" s="25"/>
      <c r="F129" s="26"/>
      <c r="G129" s="29"/>
    </row>
    <row r="130" ht="22" customHeight="1" spans="1:7">
      <c r="E130" s="2" t="s">
        <v>1834</v>
      </c>
      <c r="F130" s="2" t="s">
        <v>1462</v>
      </c>
      <c r="G130" s="30">
        <f>SUMIF($C$6:$C$128,E130,$G$6:$G$128)</f>
        <v>0</v>
      </c>
    </row>
    <row r="131" ht="22" customHeight="1" spans="1:7">
      <c r="E131" s="2" t="s">
        <v>1847</v>
      </c>
      <c r="F131" s="2" t="s">
        <v>1462</v>
      </c>
      <c r="G131" s="30">
        <f>SUMIF($C$6:$C$128,E131,$G$6:$G$128)</f>
        <v>0</v>
      </c>
    </row>
    <row r="132" ht="22" customHeight="1" spans="1:7">
      <c r="E132" s="2" t="s">
        <v>2024</v>
      </c>
      <c r="F132" s="2" t="s">
        <v>1210</v>
      </c>
      <c r="G132" s="30">
        <f>SUMIF($C$6:$C$128,E132,$G$6:$G$128)</f>
        <v>0</v>
      </c>
    </row>
    <row r="133" ht="22" customHeight="1" spans="1:7">
      <c r="E133" s="2" t="s">
        <v>1970</v>
      </c>
      <c r="F133" s="2" t="s">
        <v>1210</v>
      </c>
      <c r="G133" s="30">
        <f>SUMIF($C$6:$C$128,E133,$G$6:$G$128)</f>
        <v>0</v>
      </c>
    </row>
  </sheetData>
  <autoFilter xmlns:etc="http://www.wps.cn/officeDocument/2017/etCustomData" ref="A1:G133" etc:filterBottomFollowUsedRange="0">
    <extLst/>
  </autoFilter>
  <mergeCells count="6"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outlinePr summaryBelow="0"/>
  </sheetPr>
  <dimension ref="A1:F112"/>
  <sheetViews>
    <sheetView workbookViewId="0">
      <pane xSplit="5" ySplit="3" topLeftCell="F101" activePane="bottomRight" state="frozen"/>
      <selection/>
      <selection pane="topRight"/>
      <selection pane="bottomLeft"/>
      <selection pane="bottomRight" activeCell="A1" sqref="$A1:$XFD1"/>
    </sheetView>
  </sheetViews>
  <sheetFormatPr defaultColWidth="8.8" defaultRowHeight="22" customHeight="1" outlineLevelCol="5"/>
  <cols>
    <col min="1" max="2" width="8.8" style="2"/>
    <col min="3" max="3" width="19.8" style="2" customWidth="1"/>
    <col min="4" max="4" width="33.2" style="2" customWidth="1"/>
    <col min="5" max="16384" width="8.8" style="2"/>
  </cols>
  <sheetData>
    <row r="1" customHeight="1" spans="1:6">
      <c r="A1" s="15" t="s">
        <v>0</v>
      </c>
      <c r="B1" s="16" t="s">
        <v>1</v>
      </c>
      <c r="C1" s="15" t="s">
        <v>3</v>
      </c>
      <c r="D1" s="15" t="s">
        <v>4</v>
      </c>
      <c r="E1" s="15" t="s">
        <v>5</v>
      </c>
      <c r="F1" s="15" t="s">
        <v>6</v>
      </c>
    </row>
    <row r="2" customHeight="1" spans="1:6">
      <c r="A2" s="15"/>
      <c r="B2" s="17"/>
      <c r="C2" s="15"/>
      <c r="D2" s="15"/>
      <c r="E2" s="15"/>
      <c r="F2" s="15"/>
    </row>
    <row r="3" customHeight="1" spans="1:6">
      <c r="A3" s="15">
        <v>1</v>
      </c>
      <c r="B3" s="15"/>
      <c r="C3" s="18" t="s">
        <v>2937</v>
      </c>
      <c r="D3" s="19"/>
      <c r="E3" s="15"/>
      <c r="F3" s="15"/>
    </row>
    <row r="4" customHeight="1" spans="1:6">
      <c r="A4" s="15">
        <v>1.1</v>
      </c>
      <c r="B4" s="15">
        <v>2104</v>
      </c>
      <c r="C4" s="19" t="s">
        <v>529</v>
      </c>
      <c r="D4" s="19" t="s">
        <v>2938</v>
      </c>
      <c r="E4" s="15" t="s">
        <v>12</v>
      </c>
      <c r="F4" s="15">
        <v>1</v>
      </c>
    </row>
    <row r="5" customHeight="1" spans="1:6">
      <c r="A5" s="15">
        <v>1.2</v>
      </c>
      <c r="B5" s="15">
        <v>2104</v>
      </c>
      <c r="C5" s="19" t="s">
        <v>531</v>
      </c>
      <c r="D5" s="19" t="s">
        <v>2939</v>
      </c>
      <c r="E5" s="15" t="s">
        <v>12</v>
      </c>
      <c r="F5" s="15">
        <v>2</v>
      </c>
    </row>
    <row r="6" customHeight="1" spans="1:6">
      <c r="A6" s="15">
        <v>1.3</v>
      </c>
      <c r="B6" s="15">
        <v>2104</v>
      </c>
      <c r="C6" s="19" t="s">
        <v>2940</v>
      </c>
      <c r="D6" s="19" t="s">
        <v>2941</v>
      </c>
      <c r="E6" s="15" t="s">
        <v>12</v>
      </c>
      <c r="F6" s="15">
        <v>1</v>
      </c>
    </row>
    <row r="7" customHeight="1" spans="1:6">
      <c r="A7" s="15">
        <v>1.4</v>
      </c>
      <c r="B7" s="15">
        <v>2104</v>
      </c>
      <c r="C7" s="19" t="s">
        <v>2264</v>
      </c>
      <c r="D7" s="19" t="s">
        <v>2942</v>
      </c>
      <c r="E7" s="15" t="s">
        <v>12</v>
      </c>
      <c r="F7" s="15">
        <v>1</v>
      </c>
    </row>
    <row r="8" customHeight="1" spans="1:6">
      <c r="A8" s="15">
        <v>1.5</v>
      </c>
      <c r="B8" s="15">
        <v>2104</v>
      </c>
      <c r="C8" s="19" t="s">
        <v>533</v>
      </c>
      <c r="D8" s="19" t="s">
        <v>2943</v>
      </c>
      <c r="E8" s="15" t="s">
        <v>23</v>
      </c>
      <c r="F8" s="15">
        <v>1</v>
      </c>
    </row>
    <row r="9" customHeight="1" spans="1:6">
      <c r="A9" s="15">
        <v>1.6</v>
      </c>
      <c r="B9" s="15">
        <v>2104</v>
      </c>
      <c r="C9" s="19" t="s">
        <v>2944</v>
      </c>
      <c r="D9" s="19" t="s">
        <v>2945</v>
      </c>
      <c r="E9" s="15" t="s">
        <v>23</v>
      </c>
      <c r="F9" s="15">
        <v>1</v>
      </c>
    </row>
    <row r="10" customHeight="1" spans="1:6">
      <c r="A10" s="15">
        <v>1.7</v>
      </c>
      <c r="B10" s="15">
        <v>2104</v>
      </c>
      <c r="C10" s="19" t="s">
        <v>2946</v>
      </c>
      <c r="D10" s="19" t="s">
        <v>2947</v>
      </c>
      <c r="E10" s="15" t="s">
        <v>23</v>
      </c>
      <c r="F10" s="15">
        <v>1</v>
      </c>
    </row>
    <row r="11" customHeight="1" spans="1:6">
      <c r="A11" s="15">
        <v>1.8</v>
      </c>
      <c r="B11" s="15">
        <v>2104</v>
      </c>
      <c r="C11" s="19" t="s">
        <v>2948</v>
      </c>
      <c r="D11" s="19" t="s">
        <v>2949</v>
      </c>
      <c r="E11" s="15" t="s">
        <v>23</v>
      </c>
      <c r="F11" s="15">
        <v>1</v>
      </c>
    </row>
    <row r="12" customHeight="1" spans="1:6">
      <c r="A12" s="15"/>
      <c r="B12" s="15"/>
      <c r="C12" s="19"/>
      <c r="D12" s="19"/>
      <c r="E12" s="15"/>
      <c r="F12" s="15"/>
    </row>
    <row r="13" customHeight="1" spans="1:6">
      <c r="A13" s="12"/>
      <c r="B13" s="12"/>
      <c r="C13" s="20" t="s">
        <v>34</v>
      </c>
      <c r="D13" s="20"/>
      <c r="E13" s="12"/>
      <c r="F13" s="12"/>
    </row>
    <row r="14" customHeight="1" spans="1:6">
      <c r="A14" s="15">
        <v>2</v>
      </c>
      <c r="B14" s="15">
        <v>2105</v>
      </c>
      <c r="C14" s="18" t="s">
        <v>2950</v>
      </c>
      <c r="D14" s="19"/>
      <c r="E14" s="15"/>
      <c r="F14" s="15"/>
    </row>
    <row r="15" customHeight="1" spans="1:6">
      <c r="A15" s="15">
        <v>2.1</v>
      </c>
      <c r="B15" s="15">
        <v>2105</v>
      </c>
      <c r="C15" s="19" t="s">
        <v>529</v>
      </c>
      <c r="D15" s="19" t="s">
        <v>2938</v>
      </c>
      <c r="E15" s="15" t="s">
        <v>12</v>
      </c>
      <c r="F15" s="15">
        <v>1</v>
      </c>
    </row>
    <row r="16" customHeight="1" spans="1:6">
      <c r="A16" s="15">
        <v>2.2</v>
      </c>
      <c r="B16" s="15">
        <v>2105</v>
      </c>
      <c r="C16" s="19" t="s">
        <v>531</v>
      </c>
      <c r="D16" s="19" t="s">
        <v>2939</v>
      </c>
      <c r="E16" s="15" t="s">
        <v>12</v>
      </c>
      <c r="F16" s="15">
        <v>3</v>
      </c>
    </row>
    <row r="17" customHeight="1" spans="1:6">
      <c r="A17" s="15">
        <v>2.3</v>
      </c>
      <c r="B17" s="15">
        <v>2105</v>
      </c>
      <c r="C17" s="19" t="s">
        <v>2940</v>
      </c>
      <c r="D17" s="19" t="s">
        <v>2941</v>
      </c>
      <c r="E17" s="15" t="s">
        <v>12</v>
      </c>
      <c r="F17" s="15">
        <v>1</v>
      </c>
    </row>
    <row r="18" customHeight="1" spans="1:6">
      <c r="A18" s="15">
        <v>2.4</v>
      </c>
      <c r="B18" s="15">
        <v>2105</v>
      </c>
      <c r="C18" s="19" t="s">
        <v>2264</v>
      </c>
      <c r="D18" s="19" t="s">
        <v>2942</v>
      </c>
      <c r="E18" s="15" t="s">
        <v>12</v>
      </c>
      <c r="F18" s="15">
        <v>1</v>
      </c>
    </row>
    <row r="19" customHeight="1" spans="1:6">
      <c r="A19" s="15">
        <v>2.5</v>
      </c>
      <c r="B19" s="15">
        <v>2105</v>
      </c>
      <c r="C19" s="19" t="s">
        <v>533</v>
      </c>
      <c r="D19" s="19" t="s">
        <v>2943</v>
      </c>
      <c r="E19" s="15" t="s">
        <v>23</v>
      </c>
      <c r="F19" s="15">
        <v>1</v>
      </c>
    </row>
    <row r="20" customHeight="1" spans="1:6">
      <c r="A20" s="15">
        <v>2.6</v>
      </c>
      <c r="B20" s="15">
        <v>2105</v>
      </c>
      <c r="C20" s="19" t="s">
        <v>2951</v>
      </c>
      <c r="D20" s="19" t="s">
        <v>2945</v>
      </c>
      <c r="E20" s="15" t="s">
        <v>23</v>
      </c>
      <c r="F20" s="15">
        <v>1</v>
      </c>
    </row>
    <row r="21" customHeight="1" spans="1:6">
      <c r="A21" s="15">
        <v>2.7</v>
      </c>
      <c r="B21" s="15">
        <v>2105</v>
      </c>
      <c r="C21" s="19" t="s">
        <v>2952</v>
      </c>
      <c r="D21" s="19" t="s">
        <v>2953</v>
      </c>
      <c r="E21" s="15" t="s">
        <v>23</v>
      </c>
      <c r="F21" s="15">
        <v>1</v>
      </c>
    </row>
    <row r="22" customHeight="1" spans="1:6">
      <c r="A22" s="15">
        <v>2.8</v>
      </c>
      <c r="B22" s="15">
        <v>2105</v>
      </c>
      <c r="C22" s="19" t="s">
        <v>2954</v>
      </c>
      <c r="D22" s="19" t="s">
        <v>2955</v>
      </c>
      <c r="E22" s="15" t="s">
        <v>23</v>
      </c>
      <c r="F22" s="15">
        <v>1</v>
      </c>
    </row>
    <row r="23" customHeight="1" spans="1:6">
      <c r="A23" s="15">
        <v>2.9</v>
      </c>
      <c r="B23" s="15">
        <v>2105</v>
      </c>
      <c r="C23" s="19" t="s">
        <v>2956</v>
      </c>
      <c r="D23" s="19" t="s">
        <v>2957</v>
      </c>
      <c r="E23" s="15" t="s">
        <v>23</v>
      </c>
      <c r="F23" s="15">
        <v>1</v>
      </c>
    </row>
    <row r="24" customHeight="1" spans="1:6">
      <c r="A24" s="15">
        <v>2.1</v>
      </c>
      <c r="B24" s="15">
        <v>2105</v>
      </c>
      <c r="C24" s="19" t="s">
        <v>2958</v>
      </c>
      <c r="D24" s="19" t="s">
        <v>2959</v>
      </c>
      <c r="E24" s="15" t="s">
        <v>23</v>
      </c>
      <c r="F24" s="15">
        <v>1</v>
      </c>
    </row>
    <row r="25" customHeight="1" spans="1:6">
      <c r="A25" s="15"/>
      <c r="B25" s="15"/>
      <c r="C25" s="19"/>
      <c r="D25" s="19"/>
      <c r="E25" s="15"/>
      <c r="F25" s="15"/>
    </row>
    <row r="26" customHeight="1" spans="1:6">
      <c r="A26" s="12"/>
      <c r="B26" s="12"/>
      <c r="C26" s="20" t="s">
        <v>34</v>
      </c>
      <c r="D26" s="20"/>
      <c r="E26" s="12"/>
      <c r="F26" s="12"/>
    </row>
    <row r="27" customHeight="1" spans="1:6">
      <c r="A27" s="15">
        <v>6</v>
      </c>
      <c r="B27" s="15">
        <v>2105</v>
      </c>
      <c r="C27" s="19" t="s">
        <v>2960</v>
      </c>
      <c r="D27" s="19"/>
      <c r="E27" s="15" t="s">
        <v>23</v>
      </c>
      <c r="F27" s="15">
        <v>1</v>
      </c>
    </row>
    <row r="28" customHeight="1" spans="1:6">
      <c r="A28" s="15">
        <v>6.1</v>
      </c>
      <c r="B28" s="15">
        <v>2105</v>
      </c>
      <c r="C28" s="19" t="s">
        <v>529</v>
      </c>
      <c r="D28" s="19" t="s">
        <v>2938</v>
      </c>
      <c r="E28" s="15" t="s">
        <v>12</v>
      </c>
      <c r="F28" s="15">
        <v>1</v>
      </c>
    </row>
    <row r="29" customHeight="1" spans="1:6">
      <c r="A29" s="15">
        <v>6.2</v>
      </c>
      <c r="B29" s="15">
        <v>2105</v>
      </c>
      <c r="C29" s="19" t="s">
        <v>531</v>
      </c>
      <c r="D29" s="19" t="s">
        <v>2961</v>
      </c>
      <c r="E29" s="15" t="s">
        <v>12</v>
      </c>
      <c r="F29" s="15">
        <v>1</v>
      </c>
    </row>
    <row r="30" customHeight="1" spans="1:6">
      <c r="A30" s="15">
        <v>6.3</v>
      </c>
      <c r="B30" s="15">
        <v>2105</v>
      </c>
      <c r="C30" s="19" t="s">
        <v>2940</v>
      </c>
      <c r="D30" s="19" t="s">
        <v>2941</v>
      </c>
      <c r="E30" s="15" t="s">
        <v>12</v>
      </c>
      <c r="F30" s="15">
        <v>1</v>
      </c>
    </row>
    <row r="31" customHeight="1" spans="1:6">
      <c r="A31" s="15">
        <v>6.4</v>
      </c>
      <c r="B31" s="15">
        <v>2105</v>
      </c>
      <c r="C31" s="19" t="s">
        <v>2264</v>
      </c>
      <c r="D31" s="19" t="s">
        <v>2962</v>
      </c>
      <c r="E31" s="15" t="s">
        <v>12</v>
      </c>
      <c r="F31" s="15">
        <v>1</v>
      </c>
    </row>
    <row r="32" customHeight="1" spans="1:6">
      <c r="A32" s="15">
        <v>6.5</v>
      </c>
      <c r="B32" s="15">
        <v>2105</v>
      </c>
      <c r="C32" s="19" t="s">
        <v>533</v>
      </c>
      <c r="D32" s="19" t="s">
        <v>2963</v>
      </c>
      <c r="E32" s="15" t="s">
        <v>23</v>
      </c>
      <c r="F32" s="15">
        <v>1</v>
      </c>
    </row>
    <row r="33" customHeight="1" spans="1:6">
      <c r="A33" s="15">
        <v>6.6</v>
      </c>
      <c r="B33" s="15">
        <v>2105</v>
      </c>
      <c r="C33" s="19" t="s">
        <v>2964</v>
      </c>
      <c r="D33" s="19" t="s">
        <v>2965</v>
      </c>
      <c r="E33" s="15" t="s">
        <v>23</v>
      </c>
      <c r="F33" s="15">
        <v>1</v>
      </c>
    </row>
    <row r="34" customHeight="1" spans="1:6">
      <c r="A34" s="15"/>
      <c r="B34" s="15"/>
      <c r="C34" s="19"/>
      <c r="D34" s="19"/>
      <c r="E34" s="15"/>
      <c r="F34" s="15"/>
    </row>
    <row r="35" customHeight="1" spans="1:6">
      <c r="A35" s="12"/>
      <c r="B35" s="12"/>
      <c r="C35" s="20" t="s">
        <v>34</v>
      </c>
      <c r="D35" s="20"/>
      <c r="E35" s="12"/>
      <c r="F35" s="12"/>
    </row>
    <row r="36" customHeight="1" spans="1:6">
      <c r="A36" s="15">
        <v>3</v>
      </c>
      <c r="B36" s="15">
        <v>2108</v>
      </c>
      <c r="C36" s="18" t="s">
        <v>2966</v>
      </c>
      <c r="D36" s="19"/>
      <c r="E36" s="15"/>
      <c r="F36" s="15"/>
    </row>
    <row r="37" customHeight="1" spans="1:6">
      <c r="A37" s="15">
        <v>3.1</v>
      </c>
      <c r="B37" s="15">
        <v>2108</v>
      </c>
      <c r="C37" s="19" t="s">
        <v>529</v>
      </c>
      <c r="D37" s="19" t="s">
        <v>2938</v>
      </c>
      <c r="E37" s="15" t="s">
        <v>12</v>
      </c>
      <c r="F37" s="15">
        <v>1</v>
      </c>
    </row>
    <row r="38" customHeight="1" spans="1:6">
      <c r="A38" s="15">
        <v>3.2</v>
      </c>
      <c r="B38" s="15">
        <v>2108</v>
      </c>
      <c r="C38" s="19" t="s">
        <v>531</v>
      </c>
      <c r="D38" s="19" t="s">
        <v>2939</v>
      </c>
      <c r="E38" s="15" t="s">
        <v>12</v>
      </c>
      <c r="F38" s="15">
        <v>5</v>
      </c>
    </row>
    <row r="39" customHeight="1" spans="1:6">
      <c r="A39" s="15">
        <v>3.3</v>
      </c>
      <c r="B39" s="15">
        <v>2108</v>
      </c>
      <c r="C39" s="19" t="s">
        <v>2940</v>
      </c>
      <c r="D39" s="19" t="s">
        <v>2941</v>
      </c>
      <c r="E39" s="15" t="s">
        <v>12</v>
      </c>
      <c r="F39" s="15">
        <v>1</v>
      </c>
    </row>
    <row r="40" customHeight="1" spans="1:6">
      <c r="A40" s="15">
        <v>3.4</v>
      </c>
      <c r="B40" s="15">
        <v>2108</v>
      </c>
      <c r="C40" s="19" t="s">
        <v>2264</v>
      </c>
      <c r="D40" s="19" t="s">
        <v>2942</v>
      </c>
      <c r="E40" s="15" t="s">
        <v>12</v>
      </c>
      <c r="F40" s="15">
        <v>1</v>
      </c>
    </row>
    <row r="41" customHeight="1" spans="1:6">
      <c r="A41" s="15">
        <v>3.5</v>
      </c>
      <c r="B41" s="15">
        <v>2108</v>
      </c>
      <c r="C41" s="19" t="s">
        <v>533</v>
      </c>
      <c r="D41" s="19" t="s">
        <v>2943</v>
      </c>
      <c r="E41" s="15" t="s">
        <v>23</v>
      </c>
      <c r="F41" s="15">
        <v>1</v>
      </c>
    </row>
    <row r="42" customHeight="1" spans="1:6">
      <c r="A42" s="15">
        <v>3.6</v>
      </c>
      <c r="B42" s="15">
        <v>2108</v>
      </c>
      <c r="C42" s="19" t="s">
        <v>2967</v>
      </c>
      <c r="D42" s="19"/>
      <c r="E42" s="15" t="s">
        <v>23</v>
      </c>
      <c r="F42" s="15">
        <v>1</v>
      </c>
    </row>
    <row r="43" customHeight="1" spans="1:6">
      <c r="A43" s="15">
        <v>3.7</v>
      </c>
      <c r="B43" s="15">
        <v>2108</v>
      </c>
      <c r="C43" s="19" t="s">
        <v>2968</v>
      </c>
      <c r="D43" s="19" t="s">
        <v>2969</v>
      </c>
      <c r="E43" s="15" t="s">
        <v>23</v>
      </c>
      <c r="F43" s="15">
        <v>1</v>
      </c>
    </row>
    <row r="44" customHeight="1" spans="1:6">
      <c r="A44" s="15">
        <v>3.8</v>
      </c>
      <c r="B44" s="15">
        <v>2108</v>
      </c>
      <c r="C44" s="19" t="s">
        <v>2970</v>
      </c>
      <c r="D44" s="19"/>
      <c r="E44" s="15" t="s">
        <v>23</v>
      </c>
      <c r="F44" s="15">
        <v>1</v>
      </c>
    </row>
    <row r="45" customHeight="1" spans="1:6">
      <c r="A45" s="15"/>
      <c r="B45" s="15"/>
      <c r="C45" s="19"/>
      <c r="D45" s="19"/>
      <c r="E45" s="15"/>
      <c r="F45" s="15"/>
    </row>
    <row r="46" customHeight="1" spans="1:6">
      <c r="A46" s="12"/>
      <c r="B46" s="12"/>
      <c r="C46" s="20" t="s">
        <v>34</v>
      </c>
      <c r="D46" s="20"/>
      <c r="E46" s="12"/>
      <c r="F46" s="12"/>
    </row>
    <row r="47" customHeight="1" spans="1:6">
      <c r="A47" s="15">
        <v>4</v>
      </c>
      <c r="B47" s="15">
        <v>2108</v>
      </c>
      <c r="C47" s="19" t="s">
        <v>2971</v>
      </c>
      <c r="D47" s="19"/>
      <c r="E47" s="15"/>
      <c r="F47" s="15"/>
    </row>
    <row r="48" customHeight="1" spans="1:6">
      <c r="A48" s="15">
        <v>4.1</v>
      </c>
      <c r="B48" s="15">
        <v>2108</v>
      </c>
      <c r="C48" s="19" t="s">
        <v>529</v>
      </c>
      <c r="D48" s="19" t="s">
        <v>2938</v>
      </c>
      <c r="E48" s="15" t="s">
        <v>12</v>
      </c>
      <c r="F48" s="15">
        <v>1</v>
      </c>
    </row>
    <row r="49" customHeight="1" spans="1:6">
      <c r="A49" s="15">
        <v>4.2</v>
      </c>
      <c r="B49" s="15">
        <v>2108</v>
      </c>
      <c r="C49" s="19" t="s">
        <v>2972</v>
      </c>
      <c r="D49" s="19" t="s">
        <v>528</v>
      </c>
      <c r="E49" s="15" t="s">
        <v>23</v>
      </c>
      <c r="F49" s="15">
        <v>2</v>
      </c>
    </row>
    <row r="50" customHeight="1" spans="1:6">
      <c r="A50" s="15">
        <v>4.3</v>
      </c>
      <c r="B50" s="15">
        <v>2108</v>
      </c>
      <c r="C50" s="19" t="s">
        <v>531</v>
      </c>
      <c r="D50" s="19" t="s">
        <v>2961</v>
      </c>
      <c r="E50" s="15" t="s">
        <v>12</v>
      </c>
      <c r="F50" s="15">
        <v>1</v>
      </c>
    </row>
    <row r="51" customHeight="1" spans="1:6">
      <c r="A51" s="15">
        <v>4.4</v>
      </c>
      <c r="B51" s="15">
        <v>2108</v>
      </c>
      <c r="C51" s="19" t="s">
        <v>533</v>
      </c>
      <c r="D51" s="19" t="s">
        <v>534</v>
      </c>
      <c r="E51" s="15" t="s">
        <v>23</v>
      </c>
      <c r="F51" s="15">
        <v>1</v>
      </c>
    </row>
    <row r="52" customHeight="1" spans="1:6">
      <c r="A52" s="15">
        <v>4.5</v>
      </c>
      <c r="B52" s="15">
        <v>2108</v>
      </c>
      <c r="C52" s="19" t="s">
        <v>535</v>
      </c>
      <c r="D52" s="19" t="s">
        <v>536</v>
      </c>
      <c r="E52" s="15" t="s">
        <v>23</v>
      </c>
      <c r="F52" s="15">
        <v>1</v>
      </c>
    </row>
    <row r="53" customHeight="1" spans="1:6">
      <c r="A53" s="15"/>
      <c r="B53" s="15"/>
      <c r="C53" s="19"/>
      <c r="D53" s="19"/>
      <c r="E53" s="15"/>
      <c r="F53" s="15"/>
    </row>
    <row r="54" customHeight="1" spans="1:6">
      <c r="A54" s="12"/>
      <c r="B54" s="12"/>
      <c r="C54" s="20" t="s">
        <v>34</v>
      </c>
      <c r="D54" s="20"/>
      <c r="E54" s="12"/>
      <c r="F54" s="12"/>
    </row>
    <row r="55" customHeight="1" spans="1:6">
      <c r="A55" s="15">
        <v>5</v>
      </c>
      <c r="B55" s="15">
        <v>2108</v>
      </c>
      <c r="C55" s="19" t="s">
        <v>2973</v>
      </c>
      <c r="D55" s="19" t="s">
        <v>2974</v>
      </c>
      <c r="E55" s="15" t="s">
        <v>23</v>
      </c>
      <c r="F55" s="15">
        <v>1</v>
      </c>
    </row>
    <row r="56" customHeight="1" spans="1:6">
      <c r="A56" s="15">
        <v>7</v>
      </c>
      <c r="B56" s="15">
        <v>2102</v>
      </c>
      <c r="C56" s="19" t="s">
        <v>2975</v>
      </c>
      <c r="D56" s="19"/>
      <c r="E56" s="15"/>
      <c r="F56" s="15"/>
    </row>
    <row r="57" customHeight="1" spans="1:6">
      <c r="A57" s="15"/>
      <c r="B57" s="15"/>
      <c r="C57" s="19"/>
      <c r="D57" s="19"/>
      <c r="E57" s="15"/>
      <c r="F57" s="15"/>
    </row>
    <row r="58" customHeight="1" spans="1:6">
      <c r="A58" s="12"/>
      <c r="B58" s="12"/>
      <c r="C58" s="20" t="s">
        <v>34</v>
      </c>
      <c r="D58" s="20"/>
      <c r="E58" s="12"/>
      <c r="F58" s="12"/>
    </row>
    <row r="59" customHeight="1" spans="1:6">
      <c r="A59" s="15"/>
      <c r="B59" s="15"/>
      <c r="C59" s="18" t="s">
        <v>2976</v>
      </c>
      <c r="D59" s="19"/>
      <c r="E59" s="15"/>
      <c r="F59" s="15"/>
    </row>
    <row r="60" customHeight="1" spans="1:6">
      <c r="A60" s="15">
        <v>1</v>
      </c>
      <c r="B60" s="15">
        <v>2102</v>
      </c>
      <c r="C60" s="19" t="s">
        <v>2977</v>
      </c>
      <c r="D60" s="19"/>
      <c r="E60" s="15" t="s">
        <v>23</v>
      </c>
      <c r="F60" s="15">
        <v>1</v>
      </c>
    </row>
    <row r="61" customHeight="1" spans="1:6">
      <c r="A61" s="15">
        <v>1.1</v>
      </c>
      <c r="B61" s="15">
        <v>2102</v>
      </c>
      <c r="C61" s="19" t="s">
        <v>2978</v>
      </c>
      <c r="D61" s="19" t="s">
        <v>2979</v>
      </c>
      <c r="E61" s="15"/>
      <c r="F61" s="15"/>
    </row>
    <row r="62" customHeight="1" spans="1:6">
      <c r="A62" s="15"/>
      <c r="B62" s="15">
        <v>2102</v>
      </c>
      <c r="C62" s="19"/>
      <c r="D62" s="19" t="s">
        <v>2980</v>
      </c>
      <c r="E62" s="15" t="s">
        <v>23</v>
      </c>
      <c r="F62" s="15">
        <v>1</v>
      </c>
    </row>
    <row r="63" customHeight="1" spans="1:6">
      <c r="A63" s="15"/>
      <c r="B63" s="15">
        <v>2102</v>
      </c>
      <c r="C63" s="19"/>
      <c r="D63" s="19" t="s">
        <v>2981</v>
      </c>
      <c r="E63" s="15" t="s">
        <v>23</v>
      </c>
      <c r="F63" s="15">
        <v>1</v>
      </c>
    </row>
    <row r="64" customHeight="1" spans="1:6">
      <c r="A64" s="15"/>
      <c r="B64" s="15">
        <v>2102</v>
      </c>
      <c r="C64" s="19"/>
      <c r="D64" s="19" t="s">
        <v>2982</v>
      </c>
      <c r="E64" s="15" t="s">
        <v>23</v>
      </c>
      <c r="F64" s="15">
        <v>1</v>
      </c>
    </row>
    <row r="65" customHeight="1" spans="1:6">
      <c r="A65" s="15"/>
      <c r="B65" s="15">
        <v>2102</v>
      </c>
      <c r="C65" s="19"/>
      <c r="D65" s="19" t="s">
        <v>2983</v>
      </c>
      <c r="E65" s="15" t="s">
        <v>23</v>
      </c>
      <c r="F65" s="15">
        <v>1</v>
      </c>
    </row>
    <row r="66" customHeight="1" spans="1:6">
      <c r="A66" s="15"/>
      <c r="B66" s="15">
        <v>2102</v>
      </c>
      <c r="C66" s="19"/>
      <c r="D66" s="19" t="s">
        <v>2984</v>
      </c>
      <c r="E66" s="15" t="s">
        <v>23</v>
      </c>
      <c r="F66" s="15">
        <v>1</v>
      </c>
    </row>
    <row r="67" customHeight="1" spans="1:6">
      <c r="A67" s="15">
        <v>1.2</v>
      </c>
      <c r="B67" s="15">
        <v>2102</v>
      </c>
      <c r="C67" s="19" t="s">
        <v>2985</v>
      </c>
      <c r="D67" s="19" t="s">
        <v>2986</v>
      </c>
      <c r="E67" s="15"/>
      <c r="F67" s="15"/>
    </row>
    <row r="68" customHeight="1" spans="1:6">
      <c r="A68" s="15"/>
      <c r="B68" s="15">
        <v>2102</v>
      </c>
      <c r="C68" s="19"/>
      <c r="D68" s="19" t="s">
        <v>2987</v>
      </c>
      <c r="E68" s="15" t="s">
        <v>23</v>
      </c>
      <c r="F68" s="15">
        <v>3</v>
      </c>
    </row>
    <row r="69" customHeight="1" spans="1:6">
      <c r="A69" s="15"/>
      <c r="B69" s="15">
        <v>2102</v>
      </c>
      <c r="C69" s="19"/>
      <c r="D69" s="19" t="s">
        <v>2988</v>
      </c>
      <c r="E69" s="15" t="s">
        <v>23</v>
      </c>
      <c r="F69" s="15">
        <v>3</v>
      </c>
    </row>
    <row r="70" customHeight="1" spans="1:6">
      <c r="A70" s="15"/>
      <c r="B70" s="15">
        <v>2102</v>
      </c>
      <c r="C70" s="19"/>
      <c r="D70" s="19" t="s">
        <v>2989</v>
      </c>
      <c r="E70" s="15" t="s">
        <v>23</v>
      </c>
      <c r="F70" s="15">
        <v>1</v>
      </c>
    </row>
    <row r="71" customHeight="1" spans="1:6">
      <c r="A71" s="15"/>
      <c r="B71" s="15">
        <v>2102</v>
      </c>
      <c r="C71" s="19"/>
      <c r="D71" s="19" t="s">
        <v>2990</v>
      </c>
      <c r="E71" s="15" t="s">
        <v>23</v>
      </c>
      <c r="F71" s="15">
        <v>1</v>
      </c>
    </row>
    <row r="72" customHeight="1" spans="1:6">
      <c r="A72" s="15"/>
      <c r="B72" s="15">
        <v>2102</v>
      </c>
      <c r="C72" s="19"/>
      <c r="D72" s="19" t="s">
        <v>2991</v>
      </c>
      <c r="E72" s="15" t="s">
        <v>23</v>
      </c>
      <c r="F72" s="15">
        <v>2</v>
      </c>
    </row>
    <row r="73" customHeight="1" spans="1:6">
      <c r="A73" s="15">
        <v>1.3</v>
      </c>
      <c r="B73" s="15">
        <v>2102</v>
      </c>
      <c r="C73" s="19" t="s">
        <v>2992</v>
      </c>
      <c r="D73" s="19" t="s">
        <v>2993</v>
      </c>
      <c r="E73" s="15" t="s">
        <v>12</v>
      </c>
      <c r="F73" s="15">
        <v>10</v>
      </c>
    </row>
    <row r="74" customHeight="1" spans="1:6">
      <c r="A74" s="15">
        <v>1.4</v>
      </c>
      <c r="B74" s="15">
        <v>2102</v>
      </c>
      <c r="C74" s="19" t="s">
        <v>2994</v>
      </c>
      <c r="D74" s="19" t="s">
        <v>2995</v>
      </c>
      <c r="E74" s="15" t="s">
        <v>23</v>
      </c>
      <c r="F74" s="15">
        <v>10</v>
      </c>
    </row>
    <row r="75" customHeight="1" spans="1:6">
      <c r="A75" s="15">
        <v>1.5</v>
      </c>
      <c r="B75" s="15">
        <v>2102</v>
      </c>
      <c r="C75" s="19" t="s">
        <v>2996</v>
      </c>
      <c r="D75" s="19" t="s">
        <v>2997</v>
      </c>
      <c r="E75" s="15" t="s">
        <v>26</v>
      </c>
      <c r="F75" s="15">
        <v>15</v>
      </c>
    </row>
    <row r="76" customHeight="1" spans="1:6">
      <c r="A76" s="15">
        <v>1.6</v>
      </c>
      <c r="B76" s="15">
        <v>2102</v>
      </c>
      <c r="C76" s="19" t="s">
        <v>2998</v>
      </c>
      <c r="D76" s="19" t="s">
        <v>2999</v>
      </c>
      <c r="E76" s="15" t="s">
        <v>26</v>
      </c>
      <c r="F76" s="15">
        <v>5</v>
      </c>
    </row>
    <row r="77" customHeight="1" spans="1:6">
      <c r="A77" s="15">
        <v>2</v>
      </c>
      <c r="B77" s="15">
        <v>2102</v>
      </c>
      <c r="C77" s="19" t="s">
        <v>3000</v>
      </c>
      <c r="D77" s="19" t="s">
        <v>3001</v>
      </c>
      <c r="E77" s="15"/>
      <c r="F77" s="15"/>
    </row>
    <row r="78" customHeight="1" spans="1:6">
      <c r="A78" s="15">
        <v>2.1</v>
      </c>
      <c r="B78" s="15">
        <v>2102</v>
      </c>
      <c r="C78" s="19" t="s">
        <v>3002</v>
      </c>
      <c r="D78" s="19" t="s">
        <v>3003</v>
      </c>
      <c r="E78" s="15" t="s">
        <v>23</v>
      </c>
      <c r="F78" s="15">
        <v>13</v>
      </c>
    </row>
    <row r="79" customHeight="1" spans="1:6">
      <c r="A79" s="15">
        <v>2.2</v>
      </c>
      <c r="B79" s="15">
        <v>2102</v>
      </c>
      <c r="C79" s="19" t="s">
        <v>3004</v>
      </c>
      <c r="D79" s="19" t="s">
        <v>3005</v>
      </c>
      <c r="E79" s="15" t="s">
        <v>23</v>
      </c>
      <c r="F79" s="15">
        <v>1</v>
      </c>
    </row>
    <row r="80" customHeight="1" spans="1:6">
      <c r="A80" s="15">
        <v>2.2</v>
      </c>
      <c r="B80" s="15">
        <v>2102</v>
      </c>
      <c r="C80" s="19" t="s">
        <v>3006</v>
      </c>
      <c r="D80" s="19" t="s">
        <v>3007</v>
      </c>
      <c r="E80" s="15" t="s">
        <v>23</v>
      </c>
      <c r="F80" s="15">
        <v>43</v>
      </c>
    </row>
    <row r="81" customHeight="1" spans="1:6">
      <c r="A81" s="15">
        <v>2.4</v>
      </c>
      <c r="B81" s="15">
        <v>2102</v>
      </c>
      <c r="C81" s="19" t="s">
        <v>3008</v>
      </c>
      <c r="D81" s="19" t="s">
        <v>3009</v>
      </c>
      <c r="E81" s="15" t="s">
        <v>23</v>
      </c>
      <c r="F81" s="15">
        <v>1</v>
      </c>
    </row>
    <row r="82" customHeight="1" spans="1:6">
      <c r="A82" s="15">
        <v>2.5</v>
      </c>
      <c r="B82" s="15">
        <v>2102</v>
      </c>
      <c r="C82" s="19" t="s">
        <v>3010</v>
      </c>
      <c r="D82" s="19" t="s">
        <v>3011</v>
      </c>
      <c r="E82" s="15" t="s">
        <v>23</v>
      </c>
      <c r="F82" s="15">
        <v>1</v>
      </c>
    </row>
    <row r="83" customHeight="1" spans="1:6">
      <c r="A83" s="15">
        <v>2.6</v>
      </c>
      <c r="B83" s="15">
        <v>2102</v>
      </c>
      <c r="C83" s="19" t="s">
        <v>2998</v>
      </c>
      <c r="D83" s="19" t="s">
        <v>3012</v>
      </c>
      <c r="E83" s="15" t="s">
        <v>26</v>
      </c>
      <c r="F83" s="15">
        <v>13</v>
      </c>
    </row>
    <row r="84" customHeight="1" spans="1:6">
      <c r="A84" s="15">
        <v>3</v>
      </c>
      <c r="B84" s="15">
        <v>2102</v>
      </c>
      <c r="C84" s="19" t="s">
        <v>3013</v>
      </c>
      <c r="D84" s="19"/>
      <c r="E84" s="15"/>
      <c r="F84" s="15"/>
    </row>
    <row r="85" customHeight="1" spans="1:6">
      <c r="A85" s="15">
        <v>3.1</v>
      </c>
      <c r="B85" s="15">
        <v>2102</v>
      </c>
      <c r="C85" s="19" t="s">
        <v>3014</v>
      </c>
      <c r="D85" s="19" t="s">
        <v>3015</v>
      </c>
      <c r="E85" s="15" t="s">
        <v>12</v>
      </c>
      <c r="F85" s="15">
        <v>3</v>
      </c>
    </row>
    <row r="86" customHeight="1" spans="1:6">
      <c r="A86" s="15">
        <v>3.2</v>
      </c>
      <c r="B86" s="15">
        <v>2102</v>
      </c>
      <c r="C86" s="19" t="s">
        <v>2998</v>
      </c>
      <c r="D86" s="19" t="s">
        <v>3016</v>
      </c>
      <c r="E86" s="15" t="s">
        <v>26</v>
      </c>
      <c r="F86" s="15" t="s">
        <v>2793</v>
      </c>
    </row>
    <row r="87" customHeight="1" spans="1:6">
      <c r="A87" s="15">
        <v>4</v>
      </c>
      <c r="B87" s="15">
        <v>2102</v>
      </c>
      <c r="C87" s="19" t="s">
        <v>3017</v>
      </c>
      <c r="D87" s="19"/>
      <c r="E87" s="15"/>
      <c r="F87" s="15"/>
    </row>
    <row r="88" customHeight="1" spans="1:6">
      <c r="A88" s="15">
        <v>4.1</v>
      </c>
      <c r="B88" s="15">
        <v>2102</v>
      </c>
      <c r="C88" s="19" t="s">
        <v>3018</v>
      </c>
      <c r="D88" s="19" t="s">
        <v>3019</v>
      </c>
      <c r="E88" s="15" t="s">
        <v>23</v>
      </c>
      <c r="F88" s="15">
        <v>1</v>
      </c>
    </row>
    <row r="89" customHeight="1" spans="1:6">
      <c r="A89" s="15">
        <v>4.2</v>
      </c>
      <c r="B89" s="15">
        <v>2102</v>
      </c>
      <c r="C89" s="19" t="s">
        <v>2940</v>
      </c>
      <c r="D89" s="19" t="s">
        <v>3020</v>
      </c>
      <c r="E89" s="15" t="s">
        <v>23</v>
      </c>
      <c r="F89" s="15">
        <v>1</v>
      </c>
    </row>
    <row r="90" customHeight="1" spans="1:6">
      <c r="A90" s="15">
        <v>4.3</v>
      </c>
      <c r="B90" s="15">
        <v>2102</v>
      </c>
      <c r="C90" s="19" t="s">
        <v>3021</v>
      </c>
      <c r="D90" s="19" t="s">
        <v>2961</v>
      </c>
      <c r="E90" s="15" t="s">
        <v>12</v>
      </c>
      <c r="F90" s="15">
        <v>10</v>
      </c>
    </row>
    <row r="91" customHeight="1" spans="1:6">
      <c r="A91" s="15">
        <v>4.4</v>
      </c>
      <c r="B91" s="15">
        <v>2102</v>
      </c>
      <c r="C91" s="19" t="s">
        <v>3022</v>
      </c>
      <c r="D91" s="19" t="s">
        <v>3023</v>
      </c>
      <c r="E91" s="15" t="s">
        <v>12</v>
      </c>
      <c r="F91" s="15">
        <v>4</v>
      </c>
    </row>
    <row r="92" customHeight="1" spans="1:6">
      <c r="A92" s="15">
        <v>4.5</v>
      </c>
      <c r="B92" s="15">
        <v>2102</v>
      </c>
      <c r="C92" s="19" t="s">
        <v>3024</v>
      </c>
      <c r="D92" s="19" t="s">
        <v>3025</v>
      </c>
      <c r="E92" s="15" t="s">
        <v>12</v>
      </c>
      <c r="F92" s="15">
        <v>1</v>
      </c>
    </row>
    <row r="93" customHeight="1" spans="1:6">
      <c r="A93" s="15">
        <v>4.6</v>
      </c>
      <c r="B93" s="15">
        <v>2102</v>
      </c>
      <c r="C93" s="19" t="s">
        <v>3026</v>
      </c>
      <c r="D93" s="19" t="s">
        <v>3027</v>
      </c>
      <c r="E93" s="15" t="s">
        <v>260</v>
      </c>
      <c r="F93" s="15">
        <v>50</v>
      </c>
    </row>
    <row r="94" customHeight="1" spans="1:6">
      <c r="A94" s="15">
        <v>5</v>
      </c>
      <c r="B94" s="15">
        <v>2102</v>
      </c>
      <c r="C94" s="19" t="s">
        <v>3028</v>
      </c>
      <c r="D94" s="19"/>
      <c r="E94" s="15"/>
      <c r="F94" s="15"/>
    </row>
    <row r="95" customHeight="1" spans="1:6">
      <c r="A95" s="15">
        <v>5.1</v>
      </c>
      <c r="B95" s="15">
        <v>2102</v>
      </c>
      <c r="C95" s="19" t="s">
        <v>3029</v>
      </c>
      <c r="D95" s="19" t="s">
        <v>3030</v>
      </c>
      <c r="E95" s="15" t="s">
        <v>826</v>
      </c>
      <c r="F95" s="15">
        <f>305*5</f>
        <v>1525</v>
      </c>
    </row>
    <row r="96" customHeight="1" spans="1:6">
      <c r="A96" s="15">
        <v>5.2</v>
      </c>
      <c r="B96" s="15">
        <v>2102</v>
      </c>
      <c r="C96" s="19" t="s">
        <v>3031</v>
      </c>
      <c r="D96" s="19" t="s">
        <v>3032</v>
      </c>
      <c r="E96" s="15" t="s">
        <v>26</v>
      </c>
      <c r="F96" s="15">
        <v>100</v>
      </c>
    </row>
    <row r="97" customHeight="1" spans="1:6">
      <c r="A97" s="15">
        <v>5.3</v>
      </c>
      <c r="B97" s="15">
        <v>2102</v>
      </c>
      <c r="C97" s="19" t="s">
        <v>3033</v>
      </c>
      <c r="D97" s="19" t="s">
        <v>3034</v>
      </c>
      <c r="E97" s="15" t="s">
        <v>826</v>
      </c>
      <c r="F97" s="15">
        <v>100</v>
      </c>
    </row>
    <row r="98" customHeight="1" spans="1:6">
      <c r="A98" s="15">
        <v>5.4</v>
      </c>
      <c r="B98" s="15">
        <v>2102</v>
      </c>
      <c r="C98" s="19" t="s">
        <v>3035</v>
      </c>
      <c r="D98" s="19" t="s">
        <v>3036</v>
      </c>
      <c r="E98" s="15" t="s">
        <v>26</v>
      </c>
      <c r="F98" s="15">
        <v>5</v>
      </c>
    </row>
    <row r="99" customHeight="1" spans="1:6">
      <c r="A99" s="15">
        <v>5.5</v>
      </c>
      <c r="B99" s="15">
        <v>2102</v>
      </c>
      <c r="C99" s="19" t="s">
        <v>3037</v>
      </c>
      <c r="D99" s="19" t="s">
        <v>3038</v>
      </c>
      <c r="E99" s="15" t="s">
        <v>826</v>
      </c>
      <c r="F99" s="15">
        <v>6000</v>
      </c>
    </row>
    <row r="100" customHeight="1" spans="1:6">
      <c r="A100" s="15">
        <v>5.6</v>
      </c>
      <c r="B100" s="15">
        <v>2102</v>
      </c>
      <c r="C100" s="19" t="s">
        <v>1834</v>
      </c>
      <c r="D100" s="19" t="s">
        <v>3039</v>
      </c>
      <c r="E100" s="15" t="s">
        <v>826</v>
      </c>
      <c r="F100" s="15">
        <v>5000</v>
      </c>
    </row>
    <row r="101" customHeight="1" spans="1:6">
      <c r="A101" s="15">
        <v>5.7</v>
      </c>
      <c r="B101" s="15">
        <v>2102</v>
      </c>
      <c r="C101" s="19" t="s">
        <v>3040</v>
      </c>
      <c r="D101" s="19" t="s">
        <v>3041</v>
      </c>
      <c r="E101" s="15" t="s">
        <v>826</v>
      </c>
      <c r="F101" s="15">
        <v>600</v>
      </c>
    </row>
    <row r="102" customHeight="1" spans="1:6">
      <c r="A102" s="15">
        <v>5.8</v>
      </c>
      <c r="B102" s="15">
        <v>2102</v>
      </c>
      <c r="C102" s="19" t="s">
        <v>3042</v>
      </c>
      <c r="D102" s="19" t="s">
        <v>3043</v>
      </c>
      <c r="E102" s="15" t="s">
        <v>826</v>
      </c>
      <c r="F102" s="15">
        <v>100</v>
      </c>
    </row>
    <row r="103" customHeight="1" spans="1:6">
      <c r="A103" s="15">
        <v>5.9</v>
      </c>
      <c r="B103" s="15">
        <v>2102</v>
      </c>
      <c r="C103" s="19" t="s">
        <v>3028</v>
      </c>
      <c r="D103" s="19" t="s">
        <v>3044</v>
      </c>
      <c r="E103" s="15" t="s">
        <v>868</v>
      </c>
      <c r="F103" s="15">
        <v>5</v>
      </c>
    </row>
    <row r="104" customHeight="1" spans="1:6">
      <c r="A104" s="15">
        <v>6</v>
      </c>
      <c r="B104" s="15">
        <v>2102</v>
      </c>
      <c r="C104" s="19" t="s">
        <v>3045</v>
      </c>
      <c r="D104" s="19"/>
      <c r="E104" s="15"/>
      <c r="F104" s="15"/>
    </row>
    <row r="105" customHeight="1" spans="1:6">
      <c r="A105" s="15">
        <v>6.1</v>
      </c>
      <c r="B105" s="15">
        <v>2102</v>
      </c>
      <c r="C105" s="19" t="s">
        <v>3046</v>
      </c>
      <c r="D105" s="19" t="s">
        <v>3047</v>
      </c>
      <c r="E105" s="15" t="s">
        <v>23</v>
      </c>
      <c r="F105" s="15">
        <v>1</v>
      </c>
    </row>
    <row r="106" customHeight="1" spans="1:6">
      <c r="A106" s="15">
        <v>7</v>
      </c>
      <c r="B106" s="15">
        <v>2102</v>
      </c>
      <c r="C106" s="19" t="s">
        <v>2975</v>
      </c>
      <c r="D106" s="19"/>
      <c r="E106" s="15"/>
      <c r="F106" s="15"/>
    </row>
    <row r="107" customHeight="1" spans="1:6">
      <c r="A107" s="15">
        <v>7.1</v>
      </c>
      <c r="B107" s="15">
        <v>2102</v>
      </c>
      <c r="C107" s="19" t="s">
        <v>3048</v>
      </c>
      <c r="D107" s="19" t="s">
        <v>3049</v>
      </c>
      <c r="E107" s="15" t="s">
        <v>3050</v>
      </c>
      <c r="F107" s="15">
        <v>4</v>
      </c>
    </row>
    <row r="108" customHeight="1" spans="1:6">
      <c r="A108" s="15">
        <v>7.2</v>
      </c>
      <c r="B108" s="15">
        <v>2102</v>
      </c>
      <c r="C108" s="19" t="s">
        <v>3051</v>
      </c>
      <c r="D108" s="19" t="s">
        <v>3052</v>
      </c>
      <c r="E108" s="15" t="s">
        <v>3050</v>
      </c>
      <c r="F108" s="15">
        <v>4</v>
      </c>
    </row>
    <row r="109" customHeight="1" spans="1:6">
      <c r="A109" s="15">
        <v>7.3</v>
      </c>
      <c r="B109" s="15">
        <v>2102</v>
      </c>
      <c r="C109" s="19" t="s">
        <v>3053</v>
      </c>
      <c r="D109" s="19" t="s">
        <v>3054</v>
      </c>
      <c r="E109" s="15" t="s">
        <v>3050</v>
      </c>
      <c r="F109" s="15">
        <v>20</v>
      </c>
    </row>
    <row r="110" customHeight="1" spans="1:6">
      <c r="A110" s="15"/>
      <c r="B110" s="15"/>
      <c r="C110" s="19"/>
      <c r="D110" s="19"/>
      <c r="E110" s="15"/>
      <c r="F110" s="15"/>
    </row>
    <row r="111" customHeight="1" spans="1:6">
      <c r="A111" s="12"/>
      <c r="B111" s="12"/>
      <c r="C111" s="20" t="s">
        <v>34</v>
      </c>
      <c r="D111" s="20"/>
      <c r="E111" s="12"/>
      <c r="F111" s="12"/>
    </row>
    <row r="112" customHeight="1" spans="1:6">
      <c r="A112" s="12"/>
      <c r="B112" s="12"/>
      <c r="C112" s="20" t="s">
        <v>661</v>
      </c>
      <c r="D112" s="20"/>
      <c r="E112" s="12"/>
      <c r="F112" s="12"/>
    </row>
  </sheetData>
  <autoFilter xmlns:etc="http://www.wps.cn/officeDocument/2017/etCustomData" ref="A3:F112" etc:filterBottomFollowUsedRange="0">
    <extLst/>
  </autoFilter>
  <mergeCells count="6"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91"/>
  <sheetViews>
    <sheetView workbookViewId="0">
      <pane xSplit="4" ySplit="3" topLeftCell="E80" activePane="bottomRight" state="frozen"/>
      <selection/>
      <selection pane="topRight"/>
      <selection pane="bottomLeft"/>
      <selection pane="bottomRight" activeCell="J98" sqref="J98"/>
    </sheetView>
  </sheetViews>
  <sheetFormatPr defaultColWidth="8.8" defaultRowHeight="12" outlineLevelCol="6"/>
  <cols>
    <col min="1" max="3" width="8.8" style="2"/>
    <col min="4" max="4" width="20.8" style="2" customWidth="1"/>
    <col min="5" max="5" width="46.6" style="2" customWidth="1"/>
    <col min="6" max="6" width="8.8" style="2"/>
    <col min="7" max="7" width="10.8" style="2" customWidth="1"/>
    <col min="8" max="16384" width="8.8" style="2"/>
  </cols>
  <sheetData>
    <row r="1" ht="22" customHeight="1" spans="1:7">
      <c r="A1" s="3" t="s">
        <v>0</v>
      </c>
      <c r="B1" s="4"/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22" customHeight="1" spans="1:7">
      <c r="A2" s="3"/>
      <c r="B2" s="5"/>
      <c r="C2" s="5"/>
      <c r="D2" s="3"/>
      <c r="E2" s="3"/>
      <c r="F2" s="3"/>
      <c r="G2" s="3"/>
    </row>
    <row r="3" s="1" customFormat="1" ht="22" customHeight="1" spans="1:7">
      <c r="A3" s="6" t="s">
        <v>7</v>
      </c>
      <c r="B3" s="6"/>
      <c r="C3" s="6"/>
      <c r="D3" s="7" t="s">
        <v>3055</v>
      </c>
      <c r="E3" s="7"/>
      <c r="F3" s="8"/>
      <c r="G3" s="9"/>
    </row>
    <row r="4" ht="22" customHeight="1" spans="1:7">
      <c r="A4" s="6" t="s">
        <v>3056</v>
      </c>
      <c r="B4" s="6"/>
      <c r="C4" s="6"/>
      <c r="D4" s="7" t="s">
        <v>3057</v>
      </c>
      <c r="E4" s="10"/>
      <c r="F4" s="11"/>
      <c r="G4" s="11"/>
    </row>
    <row r="5" ht="22" customHeight="1" spans="1:7">
      <c r="A5" s="3">
        <v>1</v>
      </c>
      <c r="B5" s="3"/>
      <c r="C5" s="3"/>
      <c r="D5" s="10" t="s">
        <v>3058</v>
      </c>
      <c r="E5" s="10" t="s">
        <v>3059</v>
      </c>
      <c r="F5" s="11" t="s">
        <v>12</v>
      </c>
      <c r="G5" s="11">
        <v>17</v>
      </c>
    </row>
    <row r="6" ht="22" customHeight="1" spans="1:7">
      <c r="A6" s="3">
        <v>2</v>
      </c>
      <c r="B6" s="3"/>
      <c r="C6" s="3"/>
      <c r="D6" s="10" t="s">
        <v>3060</v>
      </c>
      <c r="E6" s="10" t="s">
        <v>3061</v>
      </c>
      <c r="F6" s="11" t="s">
        <v>12</v>
      </c>
      <c r="G6" s="11">
        <v>1</v>
      </c>
    </row>
    <row r="7" ht="22" customHeight="1" spans="1:7">
      <c r="A7" s="6">
        <v>3</v>
      </c>
      <c r="B7" s="6"/>
      <c r="C7" s="3" t="s">
        <v>3029</v>
      </c>
      <c r="D7" s="10" t="s">
        <v>3029</v>
      </c>
      <c r="E7" s="10" t="s">
        <v>3062</v>
      </c>
      <c r="F7" s="11" t="s">
        <v>826</v>
      </c>
      <c r="G7" s="11">
        <v>850</v>
      </c>
    </row>
    <row r="8" ht="22" customHeight="1" spans="1:7">
      <c r="A8" s="3"/>
      <c r="B8" s="3"/>
      <c r="C8" s="3"/>
      <c r="D8" s="10"/>
      <c r="E8" s="10" t="s">
        <v>3063</v>
      </c>
      <c r="F8" s="11" t="s">
        <v>826</v>
      </c>
      <c r="G8" s="11">
        <v>0</v>
      </c>
    </row>
    <row r="9" ht="22" customHeight="1" spans="1:7">
      <c r="A9" s="3"/>
      <c r="B9" s="3"/>
      <c r="C9" s="3"/>
      <c r="D9" s="10"/>
      <c r="E9" s="10" t="s">
        <v>3064</v>
      </c>
      <c r="F9" s="11" t="s">
        <v>826</v>
      </c>
      <c r="G9" s="11">
        <v>0</v>
      </c>
    </row>
    <row r="10" ht="22" customHeight="1" spans="1:7">
      <c r="A10" s="3">
        <v>4</v>
      </c>
      <c r="B10" s="3"/>
      <c r="C10" s="3" t="s">
        <v>831</v>
      </c>
      <c r="D10" s="10" t="s">
        <v>831</v>
      </c>
      <c r="E10" s="10" t="s">
        <v>3065</v>
      </c>
      <c r="F10" s="11" t="s">
        <v>826</v>
      </c>
      <c r="G10" s="11">
        <v>297.5</v>
      </c>
    </row>
    <row r="11" ht="22" customHeight="1" spans="1:7">
      <c r="A11" s="3"/>
      <c r="B11" s="3"/>
      <c r="C11" s="3"/>
      <c r="D11" s="10"/>
      <c r="E11" s="10"/>
      <c r="F11" s="11"/>
      <c r="G11" s="11"/>
    </row>
    <row r="12" ht="22" customHeight="1" spans="1:7">
      <c r="A12" s="3" t="s">
        <v>3066</v>
      </c>
      <c r="B12" s="3"/>
      <c r="C12" s="3"/>
      <c r="D12" s="10" t="s">
        <v>3067</v>
      </c>
      <c r="E12" s="10"/>
      <c r="F12" s="11"/>
      <c r="G12" s="11"/>
    </row>
    <row r="13" ht="22" customHeight="1" spans="1:7">
      <c r="A13" s="3">
        <v>1</v>
      </c>
      <c r="B13" s="3"/>
      <c r="C13" s="3"/>
      <c r="D13" s="10" t="s">
        <v>3024</v>
      </c>
      <c r="E13" s="10" t="s">
        <v>3068</v>
      </c>
      <c r="F13" s="11" t="s">
        <v>12</v>
      </c>
      <c r="G13" s="11">
        <v>2</v>
      </c>
    </row>
    <row r="14" ht="22" customHeight="1" spans="1:7">
      <c r="A14" s="3">
        <v>2</v>
      </c>
      <c r="B14" s="3"/>
      <c r="C14" s="3"/>
      <c r="D14" s="10" t="s">
        <v>3022</v>
      </c>
      <c r="E14" s="10" t="s">
        <v>3069</v>
      </c>
      <c r="F14" s="11" t="s">
        <v>12</v>
      </c>
      <c r="G14" s="11">
        <v>8</v>
      </c>
    </row>
    <row r="15" ht="22" customHeight="1" spans="1:7">
      <c r="A15" s="3">
        <v>3</v>
      </c>
      <c r="B15" s="3"/>
      <c r="C15" s="3"/>
      <c r="D15" s="10" t="s">
        <v>3070</v>
      </c>
      <c r="E15" s="10" t="s">
        <v>3071</v>
      </c>
      <c r="F15" s="11" t="s">
        <v>26</v>
      </c>
      <c r="G15" s="11">
        <v>80</v>
      </c>
    </row>
    <row r="16" ht="22" customHeight="1" spans="1:7">
      <c r="A16" s="3">
        <v>4</v>
      </c>
      <c r="B16" s="3"/>
      <c r="C16" s="3"/>
      <c r="D16" s="10" t="s">
        <v>3072</v>
      </c>
      <c r="E16" s="10" t="s">
        <v>3073</v>
      </c>
      <c r="F16" s="11" t="s">
        <v>26</v>
      </c>
      <c r="G16" s="11">
        <v>2</v>
      </c>
    </row>
    <row r="17" ht="22" customHeight="1" spans="1:7">
      <c r="A17" s="3">
        <v>5</v>
      </c>
      <c r="B17" s="3"/>
      <c r="C17" s="3" t="s">
        <v>3029</v>
      </c>
      <c r="D17" s="10" t="s">
        <v>3029</v>
      </c>
      <c r="E17" s="10" t="s">
        <v>3062</v>
      </c>
      <c r="F17" s="11" t="s">
        <v>826</v>
      </c>
      <c r="G17" s="11">
        <v>10400</v>
      </c>
    </row>
    <row r="18" ht="22" customHeight="1" spans="1:7">
      <c r="A18" s="3"/>
      <c r="B18" s="3"/>
      <c r="C18" s="3" t="s">
        <v>3037</v>
      </c>
      <c r="D18" s="10"/>
      <c r="E18" s="10" t="s">
        <v>3074</v>
      </c>
      <c r="F18" s="11" t="s">
        <v>826</v>
      </c>
      <c r="G18" s="11">
        <v>450</v>
      </c>
    </row>
    <row r="19" ht="22" customHeight="1" spans="1:7">
      <c r="A19" s="3">
        <v>6</v>
      </c>
      <c r="B19" s="3"/>
      <c r="C19" s="3" t="s">
        <v>831</v>
      </c>
      <c r="D19" s="10" t="s">
        <v>831</v>
      </c>
      <c r="E19" s="10" t="s">
        <v>3065</v>
      </c>
      <c r="F19" s="11" t="s">
        <v>826</v>
      </c>
      <c r="G19" s="11">
        <v>3640</v>
      </c>
    </row>
    <row r="20" ht="22" customHeight="1" spans="1:7">
      <c r="A20" s="3">
        <v>7</v>
      </c>
      <c r="B20" s="3"/>
      <c r="C20" s="3" t="s">
        <v>831</v>
      </c>
      <c r="D20" s="10" t="s">
        <v>831</v>
      </c>
      <c r="E20" s="10" t="s">
        <v>3075</v>
      </c>
      <c r="F20" s="11" t="s">
        <v>826</v>
      </c>
      <c r="G20" s="11">
        <v>4914</v>
      </c>
    </row>
    <row r="21" ht="22" customHeight="1" spans="1:7">
      <c r="A21" s="3"/>
      <c r="B21" s="3"/>
      <c r="C21" s="3"/>
      <c r="D21" s="10"/>
      <c r="E21" s="10"/>
      <c r="F21" s="11"/>
      <c r="G21" s="11"/>
    </row>
    <row r="22" ht="22" customHeight="1" spans="1:7">
      <c r="A22" s="3" t="s">
        <v>1516</v>
      </c>
      <c r="B22" s="3"/>
      <c r="C22" s="3"/>
      <c r="D22" s="10" t="s">
        <v>3076</v>
      </c>
      <c r="E22" s="10"/>
      <c r="F22" s="11"/>
      <c r="G22" s="11"/>
    </row>
    <row r="23" ht="22" customHeight="1" spans="1:7">
      <c r="A23" s="3">
        <v>1</v>
      </c>
      <c r="B23" s="3"/>
      <c r="C23" s="3"/>
      <c r="D23" s="10" t="s">
        <v>3076</v>
      </c>
      <c r="E23" s="10" t="s">
        <v>3077</v>
      </c>
      <c r="F23" s="11" t="s">
        <v>23</v>
      </c>
      <c r="G23" s="11">
        <v>1</v>
      </c>
    </row>
    <row r="24" ht="22" customHeight="1" spans="1:7">
      <c r="A24" s="3">
        <v>2</v>
      </c>
      <c r="B24" s="3"/>
      <c r="C24" s="3"/>
      <c r="D24" s="10" t="s">
        <v>3078</v>
      </c>
      <c r="E24" s="10" t="s">
        <v>3079</v>
      </c>
      <c r="F24" s="11" t="s">
        <v>23</v>
      </c>
      <c r="G24" s="11">
        <v>1</v>
      </c>
    </row>
    <row r="25" ht="22" customHeight="1" spans="1:7">
      <c r="A25" s="3"/>
      <c r="B25" s="3"/>
      <c r="C25" s="3"/>
      <c r="D25" s="10" t="s">
        <v>3080</v>
      </c>
      <c r="E25" s="10" t="s">
        <v>3081</v>
      </c>
      <c r="F25" s="11" t="s">
        <v>23</v>
      </c>
      <c r="G25" s="11">
        <v>1</v>
      </c>
    </row>
    <row r="26" ht="22" customHeight="1" spans="1:7">
      <c r="A26" s="3">
        <v>3</v>
      </c>
      <c r="B26" s="3"/>
      <c r="C26" s="3" t="s">
        <v>3082</v>
      </c>
      <c r="D26" s="10" t="s">
        <v>3082</v>
      </c>
      <c r="E26" s="10" t="s">
        <v>3083</v>
      </c>
      <c r="F26" s="11" t="s">
        <v>826</v>
      </c>
      <c r="G26" s="11">
        <v>700</v>
      </c>
    </row>
    <row r="27" ht="22" customHeight="1" spans="1:7">
      <c r="A27" s="3">
        <v>4</v>
      </c>
      <c r="B27" s="3"/>
      <c r="C27" s="3" t="s">
        <v>3082</v>
      </c>
      <c r="D27" s="10" t="s">
        <v>3082</v>
      </c>
      <c r="E27" s="10" t="s">
        <v>3084</v>
      </c>
      <c r="F27" s="11" t="s">
        <v>826</v>
      </c>
      <c r="G27" s="11">
        <v>3000</v>
      </c>
    </row>
    <row r="28" ht="22" customHeight="1" spans="1:7">
      <c r="A28" s="3"/>
      <c r="B28" s="3"/>
      <c r="C28" s="3" t="s">
        <v>3082</v>
      </c>
      <c r="D28" s="10"/>
      <c r="E28" s="10" t="s">
        <v>3085</v>
      </c>
      <c r="F28" s="11" t="s">
        <v>826</v>
      </c>
      <c r="G28" s="11">
        <v>75</v>
      </c>
    </row>
    <row r="29" ht="22" customHeight="1" spans="1:7">
      <c r="A29" s="3">
        <v>5</v>
      </c>
      <c r="B29" s="3"/>
      <c r="C29" s="3" t="s">
        <v>831</v>
      </c>
      <c r="D29" s="10" t="s">
        <v>831</v>
      </c>
      <c r="E29" s="10" t="s">
        <v>3075</v>
      </c>
      <c r="F29" s="11" t="s">
        <v>826</v>
      </c>
      <c r="G29" s="11">
        <v>1076.25</v>
      </c>
    </row>
    <row r="30" ht="22" customHeight="1" spans="1:7">
      <c r="A30" s="3"/>
      <c r="B30" s="3"/>
      <c r="C30" s="3"/>
      <c r="D30" s="10"/>
      <c r="E30" s="10"/>
      <c r="F30" s="11"/>
      <c r="G30" s="11"/>
    </row>
    <row r="31" ht="22" customHeight="1" spans="1:7">
      <c r="A31" s="3" t="s">
        <v>1520</v>
      </c>
      <c r="B31" s="3"/>
      <c r="C31" s="3"/>
      <c r="D31" s="10" t="s">
        <v>3086</v>
      </c>
      <c r="E31" s="10"/>
      <c r="F31" s="11"/>
      <c r="G31" s="11"/>
    </row>
    <row r="32" ht="22" customHeight="1" spans="1:7">
      <c r="A32" s="3">
        <v>1</v>
      </c>
      <c r="B32" s="3"/>
      <c r="C32" s="3"/>
      <c r="D32" s="10" t="s">
        <v>3087</v>
      </c>
      <c r="E32" s="10" t="s">
        <v>3088</v>
      </c>
      <c r="F32" s="11" t="s">
        <v>23</v>
      </c>
      <c r="G32" s="11">
        <v>60</v>
      </c>
    </row>
    <row r="33" ht="22" customHeight="1" spans="1:7">
      <c r="A33" s="3">
        <v>2</v>
      </c>
      <c r="B33" s="3"/>
      <c r="C33" s="3"/>
      <c r="D33" s="10" t="s">
        <v>3089</v>
      </c>
      <c r="E33" s="10" t="s">
        <v>3090</v>
      </c>
      <c r="F33" s="11" t="s">
        <v>23</v>
      </c>
      <c r="G33" s="11">
        <v>0</v>
      </c>
    </row>
    <row r="34" ht="22" customHeight="1" spans="1:7">
      <c r="A34" s="3"/>
      <c r="B34" s="3"/>
      <c r="C34" s="3"/>
      <c r="D34" s="10"/>
      <c r="E34" s="10"/>
      <c r="F34" s="11"/>
      <c r="G34" s="11"/>
    </row>
    <row r="35" ht="22" customHeight="1" spans="1:7">
      <c r="A35" s="3"/>
      <c r="B35" s="3"/>
      <c r="C35" s="3"/>
      <c r="D35" s="10"/>
      <c r="E35" s="10"/>
      <c r="F35" s="11"/>
      <c r="G35" s="11"/>
    </row>
    <row r="36" ht="22" customHeight="1" spans="1:7">
      <c r="A36" s="3" t="s">
        <v>35</v>
      </c>
      <c r="B36" s="3"/>
      <c r="C36" s="3"/>
      <c r="D36" s="10" t="s">
        <v>3091</v>
      </c>
      <c r="E36" s="10"/>
      <c r="F36" s="11"/>
      <c r="G36" s="11"/>
    </row>
    <row r="37" ht="22" customHeight="1" spans="1:7">
      <c r="A37" s="3">
        <v>1</v>
      </c>
      <c r="B37" s="3"/>
      <c r="C37" s="3"/>
      <c r="D37" s="10" t="s">
        <v>3092</v>
      </c>
      <c r="E37" s="10" t="s">
        <v>3093</v>
      </c>
      <c r="F37" s="11" t="s">
        <v>23</v>
      </c>
      <c r="G37" s="11">
        <v>1</v>
      </c>
    </row>
    <row r="38" ht="22" customHeight="1" spans="1:7">
      <c r="A38" s="3">
        <v>2</v>
      </c>
      <c r="B38" s="3"/>
      <c r="C38" s="3"/>
      <c r="D38" s="10" t="s">
        <v>3094</v>
      </c>
      <c r="E38" s="10" t="s">
        <v>3095</v>
      </c>
      <c r="F38" s="11" t="s">
        <v>23</v>
      </c>
      <c r="G38" s="11">
        <v>11</v>
      </c>
    </row>
    <row r="39" ht="22" customHeight="1" spans="1:7">
      <c r="A39" s="3">
        <v>3</v>
      </c>
      <c r="B39" s="3"/>
      <c r="C39" s="3"/>
      <c r="D39" s="10" t="s">
        <v>3096</v>
      </c>
      <c r="E39" s="10" t="s">
        <v>3097</v>
      </c>
      <c r="F39" s="11" t="s">
        <v>23</v>
      </c>
      <c r="G39" s="11">
        <v>1</v>
      </c>
    </row>
    <row r="40" ht="22" customHeight="1" spans="1:7">
      <c r="A40" s="3">
        <v>4</v>
      </c>
      <c r="B40" s="3"/>
      <c r="C40" s="3"/>
      <c r="D40" s="10" t="s">
        <v>3098</v>
      </c>
      <c r="E40" s="10" t="s">
        <v>3097</v>
      </c>
      <c r="F40" s="11" t="s">
        <v>23</v>
      </c>
      <c r="G40" s="11">
        <v>1</v>
      </c>
    </row>
    <row r="41" ht="22" customHeight="1" spans="1:7">
      <c r="A41" s="3">
        <v>5</v>
      </c>
      <c r="B41" s="3"/>
      <c r="C41" s="3"/>
      <c r="D41" s="10" t="s">
        <v>3099</v>
      </c>
      <c r="E41" s="10" t="s">
        <v>3100</v>
      </c>
      <c r="F41" s="11" t="s">
        <v>23</v>
      </c>
      <c r="G41" s="11">
        <v>1</v>
      </c>
    </row>
    <row r="42" ht="22" customHeight="1" spans="1:7">
      <c r="A42" s="3"/>
      <c r="B42" s="3"/>
      <c r="C42" s="3"/>
      <c r="D42" s="10" t="s">
        <v>3101</v>
      </c>
      <c r="E42" s="10" t="s">
        <v>3102</v>
      </c>
      <c r="F42" s="11" t="s">
        <v>23</v>
      </c>
      <c r="G42" s="11">
        <v>1</v>
      </c>
    </row>
    <row r="43" ht="22" customHeight="1" spans="1:7">
      <c r="A43" s="3">
        <v>6</v>
      </c>
      <c r="B43" s="3"/>
      <c r="C43" s="3"/>
      <c r="D43" s="10" t="s">
        <v>3103</v>
      </c>
      <c r="E43" s="10" t="s">
        <v>3104</v>
      </c>
      <c r="F43" s="11" t="s">
        <v>23</v>
      </c>
      <c r="G43" s="11">
        <v>2</v>
      </c>
    </row>
    <row r="44" ht="22" customHeight="1" spans="1:7">
      <c r="A44" s="3">
        <v>7</v>
      </c>
      <c r="B44" s="3"/>
      <c r="C44" s="3"/>
      <c r="D44" s="10" t="s">
        <v>3105</v>
      </c>
      <c r="E44" s="10" t="s">
        <v>3106</v>
      </c>
      <c r="F44" s="11" t="s">
        <v>23</v>
      </c>
      <c r="G44" s="11">
        <v>14</v>
      </c>
    </row>
    <row r="45" ht="22" customHeight="1" spans="1:7">
      <c r="A45" s="3">
        <v>8</v>
      </c>
      <c r="B45" s="3"/>
      <c r="C45" s="3"/>
      <c r="D45" s="10" t="s">
        <v>3105</v>
      </c>
      <c r="E45" s="10" t="s">
        <v>3107</v>
      </c>
      <c r="F45" s="11" t="s">
        <v>23</v>
      </c>
      <c r="G45" s="11">
        <v>5</v>
      </c>
    </row>
    <row r="46" ht="22" customHeight="1" spans="1:7">
      <c r="A46" s="3">
        <v>9</v>
      </c>
      <c r="B46" s="3"/>
      <c r="C46" s="3"/>
      <c r="D46" s="10" t="s">
        <v>3105</v>
      </c>
      <c r="E46" s="10" t="s">
        <v>3108</v>
      </c>
      <c r="F46" s="11" t="s">
        <v>23</v>
      </c>
      <c r="G46" s="11">
        <v>1</v>
      </c>
    </row>
    <row r="47" ht="22" customHeight="1" spans="1:7">
      <c r="A47" s="3">
        <v>10</v>
      </c>
      <c r="B47" s="3"/>
      <c r="C47" s="3"/>
      <c r="D47" s="10" t="s">
        <v>3109</v>
      </c>
      <c r="E47" s="10" t="s">
        <v>3110</v>
      </c>
      <c r="F47" s="11" t="s">
        <v>23</v>
      </c>
      <c r="G47" s="11">
        <v>1</v>
      </c>
    </row>
    <row r="48" ht="22" customHeight="1" spans="1:7">
      <c r="A48" s="3"/>
      <c r="B48" s="3"/>
      <c r="C48" s="3"/>
      <c r="D48" s="10" t="s">
        <v>3111</v>
      </c>
      <c r="E48" s="10" t="s">
        <v>3112</v>
      </c>
      <c r="F48" s="11" t="s">
        <v>23</v>
      </c>
      <c r="G48" s="11">
        <v>1</v>
      </c>
    </row>
    <row r="49" ht="22" customHeight="1" spans="1:7">
      <c r="A49" s="3"/>
      <c r="B49" s="3"/>
      <c r="C49" s="3"/>
      <c r="D49" s="10" t="s">
        <v>3080</v>
      </c>
      <c r="E49" s="10" t="s">
        <v>3113</v>
      </c>
      <c r="F49" s="11" t="s">
        <v>23</v>
      </c>
      <c r="G49" s="11">
        <v>1</v>
      </c>
    </row>
    <row r="50" ht="22" customHeight="1" spans="1:7">
      <c r="A50" s="3">
        <v>11</v>
      </c>
      <c r="B50" s="3"/>
      <c r="C50" s="3" t="s">
        <v>3029</v>
      </c>
      <c r="D50" s="10" t="s">
        <v>3029</v>
      </c>
      <c r="E50" s="10" t="s">
        <v>3062</v>
      </c>
      <c r="F50" s="11" t="s">
        <v>826</v>
      </c>
      <c r="G50" s="11">
        <v>8750</v>
      </c>
    </row>
    <row r="51" ht="22" customHeight="1" spans="1:7">
      <c r="A51" s="3">
        <v>12</v>
      </c>
      <c r="B51" s="3"/>
      <c r="C51" s="3" t="s">
        <v>3037</v>
      </c>
      <c r="D51" s="10" t="s">
        <v>3037</v>
      </c>
      <c r="E51" s="10" t="s">
        <v>3114</v>
      </c>
      <c r="F51" s="11" t="s">
        <v>826</v>
      </c>
      <c r="G51" s="11">
        <v>17500</v>
      </c>
    </row>
    <row r="52" ht="22" customHeight="1" spans="1:7">
      <c r="A52" s="3"/>
      <c r="B52" s="3"/>
      <c r="C52" s="3" t="s">
        <v>3037</v>
      </c>
      <c r="D52" s="10"/>
      <c r="E52" s="10" t="s">
        <v>3074</v>
      </c>
      <c r="F52" s="11" t="s">
        <v>826</v>
      </c>
      <c r="G52" s="11">
        <v>2350</v>
      </c>
    </row>
    <row r="53" ht="22" customHeight="1" spans="1:7">
      <c r="A53" s="3">
        <v>13</v>
      </c>
      <c r="B53" s="3"/>
      <c r="C53" s="3" t="s">
        <v>1843</v>
      </c>
      <c r="D53" s="10" t="s">
        <v>3115</v>
      </c>
      <c r="E53" s="10" t="s">
        <v>3116</v>
      </c>
      <c r="F53" s="11" t="s">
        <v>826</v>
      </c>
      <c r="G53" s="11">
        <v>10500</v>
      </c>
    </row>
    <row r="54" ht="22" customHeight="1" spans="1:7">
      <c r="A54" s="3"/>
      <c r="B54" s="3"/>
      <c r="C54" s="3" t="s">
        <v>1843</v>
      </c>
      <c r="D54" s="10" t="s">
        <v>3115</v>
      </c>
      <c r="E54" s="10" t="s">
        <v>3117</v>
      </c>
      <c r="F54" s="11" t="s">
        <v>826</v>
      </c>
      <c r="G54" s="11">
        <v>3000</v>
      </c>
    </row>
    <row r="55" ht="22" customHeight="1" spans="1:7">
      <c r="A55" s="3">
        <v>14</v>
      </c>
      <c r="B55" s="3"/>
      <c r="C55" s="3" t="s">
        <v>831</v>
      </c>
      <c r="D55" s="10" t="s">
        <v>831</v>
      </c>
      <c r="E55" s="10" t="s">
        <v>3075</v>
      </c>
      <c r="F55" s="11" t="s">
        <v>826</v>
      </c>
      <c r="G55" s="11">
        <v>11060</v>
      </c>
    </row>
    <row r="56" ht="22" customHeight="1" spans="1:7">
      <c r="A56" s="3"/>
      <c r="B56" s="3"/>
      <c r="C56" s="3"/>
      <c r="D56" s="10"/>
      <c r="E56" s="10"/>
      <c r="F56" s="11"/>
      <c r="G56" s="11"/>
    </row>
    <row r="57" ht="22" customHeight="1" spans="1:7">
      <c r="A57" s="12"/>
      <c r="B57" s="12"/>
      <c r="C57" s="12"/>
      <c r="D57" s="13" t="s">
        <v>34</v>
      </c>
      <c r="E57" s="13"/>
      <c r="F57" s="14"/>
      <c r="G57" s="14"/>
    </row>
    <row r="58" ht="22" customHeight="1" spans="1:7">
      <c r="A58" s="3" t="s">
        <v>54</v>
      </c>
      <c r="B58" s="3"/>
      <c r="C58" s="3"/>
      <c r="D58" s="10" t="s">
        <v>3118</v>
      </c>
      <c r="E58" s="10"/>
      <c r="F58" s="11"/>
      <c r="G58" s="11"/>
    </row>
    <row r="59" ht="22" customHeight="1" spans="1:7">
      <c r="A59" s="3">
        <v>1</v>
      </c>
      <c r="B59" s="3"/>
      <c r="C59" s="3"/>
      <c r="D59" s="10" t="s">
        <v>3119</v>
      </c>
      <c r="E59" s="10" t="s">
        <v>3120</v>
      </c>
      <c r="F59" s="11" t="s">
        <v>23</v>
      </c>
      <c r="G59" s="11">
        <v>1</v>
      </c>
    </row>
    <row r="60" ht="22" customHeight="1" spans="1:7">
      <c r="A60" s="3">
        <v>2</v>
      </c>
      <c r="B60" s="3"/>
      <c r="C60" s="3"/>
      <c r="D60" s="10" t="s">
        <v>3121</v>
      </c>
      <c r="E60" s="10" t="s">
        <v>3122</v>
      </c>
      <c r="F60" s="11" t="s">
        <v>23</v>
      </c>
      <c r="G60" s="11">
        <v>33</v>
      </c>
    </row>
    <row r="61" ht="22" customHeight="1" spans="1:7">
      <c r="A61" s="3">
        <v>3</v>
      </c>
      <c r="B61" s="3"/>
      <c r="C61" s="3"/>
      <c r="D61" s="10" t="s">
        <v>3121</v>
      </c>
      <c r="E61" s="10" t="s">
        <v>3123</v>
      </c>
      <c r="F61" s="11" t="s">
        <v>23</v>
      </c>
      <c r="G61" s="11">
        <v>2</v>
      </c>
    </row>
    <row r="62" ht="22" customHeight="1" spans="1:7">
      <c r="A62" s="3">
        <v>4</v>
      </c>
      <c r="B62" s="3"/>
      <c r="C62" s="3"/>
      <c r="D62" s="10" t="s">
        <v>3121</v>
      </c>
      <c r="E62" s="10" t="s">
        <v>3124</v>
      </c>
      <c r="F62" s="11" t="s">
        <v>23</v>
      </c>
      <c r="G62" s="11">
        <v>5</v>
      </c>
    </row>
    <row r="63" ht="22" customHeight="1" spans="1:7">
      <c r="A63" s="3">
        <v>5</v>
      </c>
      <c r="B63" s="3"/>
      <c r="C63" s="3"/>
      <c r="D63" s="10" t="s">
        <v>3125</v>
      </c>
      <c r="E63" s="10" t="s">
        <v>3126</v>
      </c>
      <c r="F63" s="11" t="s">
        <v>23</v>
      </c>
      <c r="G63" s="11">
        <v>10</v>
      </c>
    </row>
    <row r="64" ht="22" customHeight="1" spans="1:7">
      <c r="A64" s="3">
        <v>6</v>
      </c>
      <c r="B64" s="3"/>
      <c r="C64" s="3"/>
      <c r="D64" s="10" t="s">
        <v>3109</v>
      </c>
      <c r="E64" s="10" t="s">
        <v>3110</v>
      </c>
      <c r="F64" s="11" t="s">
        <v>23</v>
      </c>
      <c r="G64" s="11">
        <v>1</v>
      </c>
    </row>
    <row r="65" ht="22" customHeight="1" spans="1:7">
      <c r="A65" s="3">
        <v>7</v>
      </c>
      <c r="B65" s="3"/>
      <c r="C65" s="3" t="s">
        <v>3029</v>
      </c>
      <c r="D65" s="10" t="s">
        <v>3029</v>
      </c>
      <c r="E65" s="10" t="s">
        <v>3062</v>
      </c>
      <c r="F65" s="11" t="s">
        <v>826</v>
      </c>
      <c r="G65" s="11">
        <v>50</v>
      </c>
    </row>
    <row r="66" ht="22" customHeight="1" spans="1:7">
      <c r="A66" s="3">
        <v>8</v>
      </c>
      <c r="B66" s="3"/>
      <c r="C66" s="3" t="s">
        <v>3037</v>
      </c>
      <c r="D66" s="10"/>
      <c r="E66" s="10" t="s">
        <v>3074</v>
      </c>
      <c r="F66" s="11" t="s">
        <v>826</v>
      </c>
      <c r="G66" s="11">
        <v>0</v>
      </c>
    </row>
    <row r="67" ht="22" customHeight="1" spans="1:7">
      <c r="A67" s="3">
        <v>9</v>
      </c>
      <c r="B67" s="3"/>
      <c r="C67" s="3" t="s">
        <v>1847</v>
      </c>
      <c r="D67" s="10" t="s">
        <v>3127</v>
      </c>
      <c r="E67" s="10" t="s">
        <v>3128</v>
      </c>
      <c r="F67" s="11" t="s">
        <v>826</v>
      </c>
      <c r="G67" s="11">
        <v>4000</v>
      </c>
    </row>
    <row r="68" ht="22" customHeight="1" spans="1:7">
      <c r="A68" s="3">
        <v>10</v>
      </c>
      <c r="B68" s="3"/>
      <c r="C68" s="3" t="s">
        <v>831</v>
      </c>
      <c r="D68" s="10" t="s">
        <v>831</v>
      </c>
      <c r="E68" s="10" t="s">
        <v>3075</v>
      </c>
      <c r="F68" s="11" t="s">
        <v>826</v>
      </c>
      <c r="G68" s="11">
        <v>1417.5</v>
      </c>
    </row>
    <row r="69" ht="22" customHeight="1" spans="1:7">
      <c r="A69" s="3"/>
      <c r="B69" s="3"/>
      <c r="C69" s="3"/>
      <c r="D69" s="10"/>
      <c r="E69" s="10"/>
      <c r="F69" s="11"/>
      <c r="G69" s="11"/>
    </row>
    <row r="70" ht="22" customHeight="1" spans="1:7">
      <c r="A70" s="3" t="s">
        <v>1361</v>
      </c>
      <c r="B70" s="3"/>
      <c r="C70" s="3"/>
      <c r="D70" s="10" t="s">
        <v>3129</v>
      </c>
      <c r="E70" s="10"/>
      <c r="F70" s="11"/>
      <c r="G70" s="11"/>
    </row>
    <row r="71" ht="22" customHeight="1" spans="1:7">
      <c r="A71" s="3">
        <v>1</v>
      </c>
      <c r="B71" s="3"/>
      <c r="C71" s="3"/>
      <c r="D71" s="10" t="s">
        <v>3130</v>
      </c>
      <c r="E71" s="10" t="s">
        <v>3131</v>
      </c>
      <c r="F71" s="11" t="s">
        <v>23</v>
      </c>
      <c r="G71" s="11">
        <v>1</v>
      </c>
    </row>
    <row r="72" ht="22" customHeight="1" spans="1:7">
      <c r="A72" s="3">
        <v>2</v>
      </c>
      <c r="B72" s="3"/>
      <c r="C72" s="3"/>
      <c r="D72" s="10" t="s">
        <v>3132</v>
      </c>
      <c r="E72" s="10" t="s">
        <v>3133</v>
      </c>
      <c r="F72" s="11" t="s">
        <v>23</v>
      </c>
      <c r="G72" s="11">
        <v>1</v>
      </c>
    </row>
    <row r="73" ht="22" customHeight="1" spans="1:7">
      <c r="A73" s="3">
        <v>3</v>
      </c>
      <c r="B73" s="3"/>
      <c r="C73" s="3"/>
      <c r="D73" s="10" t="s">
        <v>3134</v>
      </c>
      <c r="E73" s="10" t="s">
        <v>3135</v>
      </c>
      <c r="F73" s="11" t="s">
        <v>23</v>
      </c>
      <c r="G73" s="11">
        <v>1</v>
      </c>
    </row>
    <row r="74" ht="22" customHeight="1" spans="1:7">
      <c r="A74" s="3">
        <v>4</v>
      </c>
      <c r="B74" s="3"/>
      <c r="C74" s="3" t="s">
        <v>1847</v>
      </c>
      <c r="D74" s="10" t="s">
        <v>3136</v>
      </c>
      <c r="E74" s="10" t="s">
        <v>3137</v>
      </c>
      <c r="F74" s="11" t="s">
        <v>826</v>
      </c>
      <c r="G74" s="11">
        <v>2150</v>
      </c>
    </row>
    <row r="75" ht="22" customHeight="1" spans="1:7">
      <c r="A75" s="3">
        <v>5</v>
      </c>
      <c r="B75" s="3"/>
      <c r="C75" s="3" t="s">
        <v>1847</v>
      </c>
      <c r="D75" s="10" t="s">
        <v>3138</v>
      </c>
      <c r="E75" s="10" t="s">
        <v>3139</v>
      </c>
      <c r="F75" s="11" t="s">
        <v>826</v>
      </c>
      <c r="G75" s="11">
        <v>2150</v>
      </c>
    </row>
    <row r="76" ht="22" customHeight="1" spans="1:7">
      <c r="A76" s="3">
        <v>6</v>
      </c>
      <c r="B76" s="3"/>
      <c r="C76" s="3" t="s">
        <v>1847</v>
      </c>
      <c r="D76" s="10" t="s">
        <v>3140</v>
      </c>
      <c r="E76" s="10" t="s">
        <v>3141</v>
      </c>
      <c r="F76" s="11" t="s">
        <v>826</v>
      </c>
      <c r="G76" s="11">
        <v>3500</v>
      </c>
    </row>
    <row r="77" ht="22" customHeight="1" spans="1:7">
      <c r="A77" s="3">
        <v>7</v>
      </c>
      <c r="B77" s="3"/>
      <c r="C77" s="3" t="s">
        <v>1847</v>
      </c>
      <c r="D77" s="10" t="s">
        <v>3142</v>
      </c>
      <c r="E77" s="10" t="s">
        <v>3143</v>
      </c>
      <c r="F77" s="11" t="s">
        <v>826</v>
      </c>
      <c r="G77" s="11">
        <v>2800</v>
      </c>
    </row>
    <row r="78" ht="22" customHeight="1" spans="1:7">
      <c r="A78" s="3">
        <v>8</v>
      </c>
      <c r="B78" s="3"/>
      <c r="C78" s="3" t="s">
        <v>1847</v>
      </c>
      <c r="D78" s="10" t="s">
        <v>3144</v>
      </c>
      <c r="E78" s="10" t="s">
        <v>3145</v>
      </c>
      <c r="F78" s="11" t="s">
        <v>826</v>
      </c>
      <c r="G78" s="11">
        <v>2800</v>
      </c>
    </row>
    <row r="79" ht="22" customHeight="1" spans="1:7">
      <c r="A79" s="3"/>
      <c r="B79" s="3"/>
      <c r="C79" s="3" t="s">
        <v>1847</v>
      </c>
      <c r="D79" s="10"/>
      <c r="E79" s="10" t="s">
        <v>3146</v>
      </c>
      <c r="F79" s="11" t="s">
        <v>826</v>
      </c>
      <c r="G79" s="11">
        <v>2150</v>
      </c>
    </row>
    <row r="80" ht="22" customHeight="1" spans="1:7">
      <c r="A80" s="3">
        <v>9</v>
      </c>
      <c r="B80" s="3"/>
      <c r="C80" s="3" t="s">
        <v>1847</v>
      </c>
      <c r="D80" s="10" t="s">
        <v>3147</v>
      </c>
      <c r="E80" s="10" t="s">
        <v>3146</v>
      </c>
      <c r="F80" s="11" t="s">
        <v>826</v>
      </c>
      <c r="G80" s="11">
        <v>4950</v>
      </c>
    </row>
    <row r="81" ht="22" customHeight="1" spans="1:7">
      <c r="A81" s="3">
        <v>10</v>
      </c>
      <c r="B81" s="3"/>
      <c r="C81" s="3" t="s">
        <v>1847</v>
      </c>
      <c r="D81" s="10" t="s">
        <v>3148</v>
      </c>
      <c r="E81" s="10" t="s">
        <v>3149</v>
      </c>
      <c r="F81" s="11" t="s">
        <v>826</v>
      </c>
      <c r="G81" s="11">
        <v>1050</v>
      </c>
    </row>
    <row r="82" ht="22" customHeight="1" spans="1:7">
      <c r="A82" s="3">
        <v>11</v>
      </c>
      <c r="B82" s="3"/>
      <c r="C82" s="3" t="s">
        <v>1847</v>
      </c>
      <c r="D82" s="10" t="s">
        <v>3150</v>
      </c>
      <c r="E82" s="10" t="s">
        <v>3151</v>
      </c>
      <c r="F82" s="11" t="s">
        <v>826</v>
      </c>
      <c r="G82" s="11">
        <v>150</v>
      </c>
    </row>
    <row r="83" ht="22" customHeight="1" spans="1:7">
      <c r="A83" s="3"/>
      <c r="B83" s="3"/>
      <c r="C83" s="3" t="s">
        <v>1847</v>
      </c>
      <c r="D83" s="10"/>
      <c r="E83" s="10" t="s">
        <v>3152</v>
      </c>
      <c r="F83" s="11" t="s">
        <v>826</v>
      </c>
      <c r="G83" s="11">
        <v>450</v>
      </c>
    </row>
    <row r="84" ht="22" customHeight="1" spans="1:7">
      <c r="A84" s="3">
        <v>12</v>
      </c>
      <c r="B84" s="3"/>
      <c r="C84" s="3"/>
      <c r="D84" s="10" t="s">
        <v>3037</v>
      </c>
      <c r="E84" s="10" t="s">
        <v>3153</v>
      </c>
      <c r="F84" s="11" t="s">
        <v>826</v>
      </c>
      <c r="G84" s="11">
        <v>1600</v>
      </c>
    </row>
    <row r="85" ht="22" customHeight="1" spans="1:7">
      <c r="A85" s="3">
        <v>13</v>
      </c>
      <c r="B85" s="3"/>
      <c r="C85" s="3" t="s">
        <v>831</v>
      </c>
      <c r="D85" s="10" t="s">
        <v>831</v>
      </c>
      <c r="E85" s="10" t="s">
        <v>3065</v>
      </c>
      <c r="F85" s="11" t="s">
        <v>826</v>
      </c>
      <c r="G85" s="11">
        <v>10700</v>
      </c>
    </row>
    <row r="86" ht="22" customHeight="1" spans="1:7">
      <c r="A86" s="3"/>
      <c r="B86" s="3"/>
      <c r="C86" s="3" t="s">
        <v>831</v>
      </c>
      <c r="D86" s="10"/>
      <c r="E86" s="10" t="s">
        <v>3075</v>
      </c>
      <c r="F86" s="11" t="s">
        <v>826</v>
      </c>
      <c r="G86" s="11">
        <v>8600</v>
      </c>
    </row>
    <row r="87" ht="22" customHeight="1" spans="1:7">
      <c r="A87" s="3"/>
      <c r="B87" s="3"/>
      <c r="C87" s="3" t="s">
        <v>831</v>
      </c>
      <c r="D87" s="10"/>
      <c r="E87" s="10" t="s">
        <v>3154</v>
      </c>
      <c r="F87" s="11" t="s">
        <v>826</v>
      </c>
      <c r="G87" s="11">
        <v>2300</v>
      </c>
    </row>
    <row r="88" ht="22" customHeight="1" spans="1:7">
      <c r="A88" s="3"/>
      <c r="B88" s="3"/>
      <c r="C88" s="3"/>
      <c r="D88" s="10"/>
      <c r="E88" s="10"/>
      <c r="F88" s="11"/>
      <c r="G88" s="11"/>
    </row>
    <row r="89" ht="22" customHeight="1" spans="1:7">
      <c r="A89" s="12"/>
      <c r="B89" s="12"/>
      <c r="C89" s="12"/>
      <c r="D89" s="13" t="s">
        <v>34</v>
      </c>
      <c r="E89" s="13"/>
      <c r="F89" s="14"/>
      <c r="G89" s="14"/>
    </row>
    <row r="90" ht="22" customHeight="1" spans="1:7">
      <c r="A90" s="12"/>
      <c r="B90" s="12"/>
      <c r="C90" s="12"/>
      <c r="D90" s="13" t="s">
        <v>661</v>
      </c>
      <c r="E90" s="13"/>
      <c r="F90" s="14"/>
      <c r="G90" s="14"/>
    </row>
    <row r="91" ht="22" customHeight="1" spans="1:7">
      <c r="A91" s="3"/>
      <c r="B91" s="3"/>
      <c r="C91" s="3"/>
      <c r="D91" s="10"/>
      <c r="E91" s="10"/>
      <c r="F91" s="11"/>
      <c r="G91" s="11"/>
    </row>
  </sheetData>
  <autoFilter xmlns:etc="http://www.wps.cn/officeDocument/2017/etCustomData" ref="A3:G91" etc:filterBottomFollowUsedRange="0">
    <extLst/>
  </autoFilter>
  <mergeCells count="6"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炼钢</vt:lpstr>
      <vt:lpstr>液压</vt:lpstr>
      <vt:lpstr>机修</vt:lpstr>
      <vt:lpstr>检化验</vt:lpstr>
      <vt:lpstr>给排水</vt:lpstr>
      <vt:lpstr>通风</vt:lpstr>
      <vt:lpstr>燃气</vt:lpstr>
      <vt:lpstr>热力</vt:lpstr>
      <vt:lpstr>供电</vt:lpstr>
      <vt:lpstr>传动</vt:lpstr>
      <vt:lpstr>仪表</vt:lpstr>
      <vt:lpstr>自动化</vt:lpstr>
      <vt:lpstr>计算机</vt:lpstr>
      <vt:lpstr>电讯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黄明远</dc:creator>
  <cp:lastModifiedBy>姚思佳</cp:lastModifiedBy>
  <dcterms:created xsi:type="dcterms:W3CDTF">2026-02-09T12:15:00Z</dcterms:created>
  <dcterms:modified xsi:type="dcterms:W3CDTF">2026-10-21T03:14:39Z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44D9F19008B44E219BB32FB1B3529B32_13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